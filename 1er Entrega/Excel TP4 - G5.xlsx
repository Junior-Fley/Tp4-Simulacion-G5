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pc_ju\OneDrive\Escritorio\Tp4-Simulacion-G5\1er Entrega\"/>
    </mc:Choice>
  </mc:AlternateContent>
  <xr:revisionPtr revIDLastSave="0" documentId="13_ncr:1_{35DBF18D-9B94-4EF8-9C77-7DC8C70A5670}" xr6:coauthVersionLast="47" xr6:coauthVersionMax="47" xr10:uidLastSave="{00000000-0000-0000-0000-000000000000}"/>
  <bookViews>
    <workbookView xWindow="-110" yWindow="-110" windowWidth="19420" windowHeight="11020" xr2:uid="{00000000-000D-0000-FFFF-FFFF00000000}"/>
  </bookViews>
  <sheets>
    <sheet name="Sheet1" sheetId="1" r:id="rId1"/>
    <sheet name="Sheet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G9" i="1" s="1"/>
  <c r="I19" i="1"/>
  <c r="J19" i="1" s="1"/>
  <c r="G18" i="1"/>
  <c r="D18" i="1"/>
  <c r="D17" i="1"/>
  <c r="E17" i="1" s="1"/>
  <c r="B18" i="1" s="1"/>
  <c r="H18" i="1" s="1"/>
  <c r="B13" i="1"/>
  <c r="E1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tc={2AC92C0D-91E0-4D44-A3F2-EF4B8018F531}</author>
    <author>tc={8099394A-7DAB-4E3F-B9F6-5B67BC2399FA}</author>
  </authors>
  <commentList>
    <comment ref="E1" authorId="0" shapeId="0" xr:uid="{2AC92C0D-91E0-4D44-A3F2-EF4B8018F531}">
      <text>
        <t xml:space="preserve">[Threaded comment]
Your version of Excel allows you to read this threaded comment; however, any edits to it will get removed if the file is opened in a newer version of Excel. Learn more: https://go.microsoft.com/fwlink/?linkid=870924
Comment:
    Si el técnico estaba realizando una reparación en ese momento, debe interrumpirla, atender al cliente y, una vez que este se retira, retomar la reparación desde el punto exacto en el que la dejó. 
</t>
      </text>
    </comment>
    <comment ref="T16" authorId="1" shapeId="0" xr:uid="{8099394A-7DAB-4E3F-B9F6-5B67BC2399FA}">
      <text>
        <t>[Threaded comment]
Your version of Excel allows you to read this threaded comment; however, any edits to it will get removed if the file is opened in a newer version of Excel. Learn more: https://go.microsoft.com/fwlink/?linkid=870924
Comment:
    Cuando tengo un equipo interrumpido</t>
      </text>
    </comment>
  </commentList>
</comments>
</file>

<file path=xl/sharedStrings.xml><?xml version="1.0" encoding="utf-8"?>
<sst xmlns="http://schemas.openxmlformats.org/spreadsheetml/2006/main" count="93" uniqueCount="65">
  <si>
    <t>Eventos</t>
  </si>
  <si>
    <t>RND</t>
  </si>
  <si>
    <t>Proxima llegada</t>
  </si>
  <si>
    <t xml:space="preserve">fin atencion </t>
  </si>
  <si>
    <t>Estado</t>
  </si>
  <si>
    <t>Cliente</t>
  </si>
  <si>
    <t>Horario Apertura</t>
  </si>
  <si>
    <t>hs</t>
  </si>
  <si>
    <t>Horario Cierre</t>
  </si>
  <si>
    <t>Local</t>
  </si>
  <si>
    <t xml:space="preserve">Clientes </t>
  </si>
  <si>
    <t>Llegada  Exp.Neg media</t>
  </si>
  <si>
    <t>min</t>
  </si>
  <si>
    <t>U(10, 20)</t>
  </si>
  <si>
    <t>demora</t>
  </si>
  <si>
    <t>Atencion cliente</t>
  </si>
  <si>
    <t>Reparacion en taller</t>
  </si>
  <si>
    <t>reparación  Exp.Neg media</t>
  </si>
  <si>
    <t>Presupuesto</t>
  </si>
  <si>
    <t xml:space="preserve">Acepta </t>
  </si>
  <si>
    <t>Rechaza</t>
  </si>
  <si>
    <t>P()</t>
  </si>
  <si>
    <t>P()Ac</t>
  </si>
  <si>
    <t>0.5</t>
  </si>
  <si>
    <t>Tiempo reparacion Equipo</t>
  </si>
  <si>
    <t>Porcentaje tiempo  reparacion
reparaciones</t>
  </si>
  <si>
    <t>llegada_Cliente</t>
  </si>
  <si>
    <t>Tiempo entre llegadas min</t>
  </si>
  <si>
    <t>Fin Reparación</t>
  </si>
  <si>
    <t>Tiempo Reparación</t>
  </si>
  <si>
    <t>Estadistica</t>
  </si>
  <si>
    <t>Cant Clientes no atendidos por cierre 18:00</t>
  </si>
  <si>
    <t xml:space="preserve">Tiempo acumulado </t>
  </si>
  <si>
    <t>Equipo en taller</t>
  </si>
  <si>
    <t xml:space="preserve">tiempo </t>
  </si>
  <si>
    <t xml:space="preserve">Prom tiempo </t>
  </si>
  <si>
    <t>Reparacion Equipo</t>
  </si>
  <si>
    <t>Clientes Perdidos</t>
  </si>
  <si>
    <t>Acu  Clientes no atendidos</t>
  </si>
  <si>
    <t>Reloj(min)</t>
  </si>
  <si>
    <t>Atención_Cliente</t>
  </si>
  <si>
    <t>Reparacion_taller</t>
  </si>
  <si>
    <t>Tecnico</t>
  </si>
  <si>
    <t>Cola Clientes</t>
  </si>
  <si>
    <t>Cola Equipos</t>
  </si>
  <si>
    <t xml:space="preserve">Tiempo faltante de reparacion </t>
  </si>
  <si>
    <t>N</t>
  </si>
  <si>
    <t>Hora ingreso</t>
  </si>
  <si>
    <t>Equipos</t>
  </si>
  <si>
    <t>Inicializacion</t>
  </si>
  <si>
    <t>Stock de equipos para retirar</t>
  </si>
  <si>
    <t xml:space="preserve">Cantidad de Equipos reparados </t>
  </si>
  <si>
    <t>AC Tiempos de Reparacion</t>
  </si>
  <si>
    <t>libre</t>
  </si>
  <si>
    <t>Atendiendo_Client</t>
  </si>
  <si>
    <t>atentido</t>
  </si>
  <si>
    <t>Atención_Cliente(Diagnóstico)</t>
  </si>
  <si>
    <t>Tiempo atencion (min)</t>
  </si>
  <si>
    <t>Decision</t>
  </si>
  <si>
    <t>Presupuesto elevado</t>
  </si>
  <si>
    <t>Si</t>
  </si>
  <si>
    <t>No</t>
  </si>
  <si>
    <t>P() AC</t>
  </si>
  <si>
    <t>realizar la reparación</t>
  </si>
  <si>
    <t>Reparando_Equipo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</si>
</sst>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4"/>
      <name val="Calibri"/>
      <family val="2"/>
      <scheme val="minor"/>
    </font>
    <font>
      <sz val="9"/>
      <color indexed="81"/>
      <name val="Tahoma"/>
      <family val="2"/>
    </font>
    <font>
      <sz val="11"/>
      <color rgb="FFC00000"/>
      <name val="Calibri"/>
      <family val="2"/>
      <scheme val="minor"/>
    </font>
    <font>
      <sz val="11"/>
      <name val="Calibri"/>
      <family val="2"/>
      <scheme val="minor"/>
    </font>
  </fonts>
  <fills count="13">
    <fill>
      <patternFill patternType="none"/>
    </fill>
    <fill>
      <patternFill patternType="gray125"/>
    </fill>
    <fill>
      <patternFill patternType="solid">
        <fgColor theme="5" tint="0.59999389629810485"/>
        <bgColor indexed="64"/>
      </patternFill>
    </fill>
    <fill>
      <patternFill patternType="solid">
        <fgColor rgb="FFFFFF00"/>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1" tint="0.499984740745262"/>
        <bgColor indexed="64"/>
      </patternFill>
    </fill>
    <fill>
      <patternFill patternType="solid">
        <fgColor theme="4" tint="0.39997558519241921"/>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6" tint="0.39997558519241921"/>
        <bgColor indexed="64"/>
      </patternFill>
    </fill>
    <fill>
      <patternFill patternType="solid">
        <fgColor theme="3" tint="0.39997558519241921"/>
        <bgColor indexed="64"/>
      </patternFill>
    </fill>
    <fill>
      <patternFill patternType="solid">
        <fgColor rgb="FFFF00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1">
    <xf numFmtId="0" fontId="0" fillId="0" borderId="0"/>
  </cellStyleXfs>
  <cellXfs count="41">
    <xf numFmtId="0" fontId="0" fillId="0" borderId="0" xfId="0"/>
    <xf numFmtId="0" fontId="0" fillId="2" borderId="0" xfId="0" applyFill="1" applyAlignment="1">
      <alignment horizontal="center" vertical="center"/>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0" xfId="0" applyFill="1" applyAlignment="1">
      <alignment horizontal="center" vertical="center"/>
    </xf>
    <xf numFmtId="0" fontId="0" fillId="3" borderId="0" xfId="0" applyFill="1"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3" borderId="2" xfId="0" applyFill="1" applyBorder="1" applyAlignment="1">
      <alignment horizontal="center" vertical="center" wrapText="1"/>
    </xf>
    <xf numFmtId="0" fontId="0" fillId="6" borderId="1" xfId="0" applyFill="1" applyBorder="1" applyAlignment="1">
      <alignment horizontal="center" vertical="center" wrapText="1"/>
    </xf>
    <xf numFmtId="2" fontId="0" fillId="0" borderId="0" xfId="0" applyNumberFormat="1" applyAlignment="1">
      <alignment horizontal="center" vertical="center"/>
    </xf>
    <xf numFmtId="0" fontId="0" fillId="4" borderId="3" xfId="0" applyFill="1" applyBorder="1" applyAlignment="1">
      <alignment horizontal="center" vertical="center"/>
    </xf>
    <xf numFmtId="0" fontId="0" fillId="7" borderId="3" xfId="0" applyFill="1" applyBorder="1" applyAlignment="1">
      <alignment horizontal="center"/>
    </xf>
    <xf numFmtId="0" fontId="0" fillId="0" borderId="0" xfId="0" applyAlignment="1">
      <alignment horizontal="center" vertical="center" wrapText="1"/>
    </xf>
    <xf numFmtId="0" fontId="0" fillId="0" borderId="0" xfId="0" applyFill="1" applyAlignment="1">
      <alignment horizontal="center" vertical="center"/>
    </xf>
    <xf numFmtId="0" fontId="0" fillId="5" borderId="1" xfId="0" applyFill="1" applyBorder="1" applyAlignment="1">
      <alignment horizontal="center" vertical="center" wrapText="1"/>
    </xf>
    <xf numFmtId="0" fontId="0" fillId="9" borderId="4" xfId="0" applyFill="1" applyBorder="1" applyAlignment="1">
      <alignment horizontal="center" vertical="center"/>
    </xf>
    <xf numFmtId="0" fontId="0" fillId="9" borderId="3" xfId="0" applyFill="1" applyBorder="1" applyAlignment="1">
      <alignment horizontal="center" vertical="center"/>
    </xf>
    <xf numFmtId="0" fontId="0" fillId="0" borderId="1" xfId="0" applyBorder="1" applyAlignment="1">
      <alignment horizontal="center" vertical="center"/>
    </xf>
    <xf numFmtId="0" fontId="0" fillId="0" borderId="0" xfId="0" applyBorder="1" applyAlignment="1">
      <alignment horizontal="center" vertical="center"/>
    </xf>
    <xf numFmtId="0" fontId="0" fillId="10" borderId="0" xfId="0" applyFill="1" applyAlignment="1">
      <alignment horizontal="center" vertical="center"/>
    </xf>
    <xf numFmtId="0" fontId="1" fillId="0" borderId="0" xfId="0" applyFont="1" applyFill="1" applyBorder="1" applyAlignment="1">
      <alignment horizontal="center" vertical="center"/>
    </xf>
    <xf numFmtId="0" fontId="0" fillId="5" borderId="0" xfId="0" applyFill="1" applyAlignment="1">
      <alignment horizontal="center" vertical="center"/>
    </xf>
    <xf numFmtId="0" fontId="0" fillId="0" borderId="2" xfId="0" applyBorder="1" applyAlignment="1">
      <alignment horizontal="center" vertical="center"/>
    </xf>
    <xf numFmtId="0" fontId="0" fillId="0" borderId="0" xfId="0" applyFill="1" applyBorder="1" applyAlignment="1">
      <alignment horizontal="center" vertical="center" wrapText="1"/>
    </xf>
    <xf numFmtId="0" fontId="0" fillId="0" borderId="1" xfId="0" applyFill="1" applyBorder="1" applyAlignment="1">
      <alignment horizontal="center" vertical="center" wrapText="1"/>
    </xf>
    <xf numFmtId="2" fontId="0" fillId="0" borderId="1" xfId="0" applyNumberFormat="1" applyBorder="1" applyAlignment="1">
      <alignment horizontal="center" vertical="center"/>
    </xf>
    <xf numFmtId="2" fontId="3" fillId="0" borderId="1" xfId="0" applyNumberFormat="1" applyFont="1" applyBorder="1" applyAlignment="1">
      <alignment horizontal="center" vertical="center"/>
    </xf>
    <xf numFmtId="2" fontId="4" fillId="0" borderId="1" xfId="0" applyNumberFormat="1" applyFont="1" applyBorder="1" applyAlignment="1">
      <alignment horizontal="center" vertical="center"/>
    </xf>
    <xf numFmtId="0" fontId="0" fillId="0" borderId="1" xfId="0" applyFill="1" applyBorder="1" applyAlignment="1">
      <alignment horizontal="center" vertical="center"/>
    </xf>
    <xf numFmtId="2" fontId="3" fillId="0" borderId="1" xfId="0" applyNumberFormat="1" applyFont="1" applyFill="1" applyBorder="1" applyAlignment="1">
      <alignment horizontal="center" vertical="center"/>
    </xf>
    <xf numFmtId="0" fontId="0" fillId="11" borderId="3" xfId="0" applyFill="1" applyBorder="1" applyAlignment="1">
      <alignment horizontal="center" vertical="center"/>
    </xf>
    <xf numFmtId="0" fontId="0" fillId="11" borderId="0" xfId="0" applyFill="1" applyAlignment="1">
      <alignment horizontal="center" vertical="center"/>
    </xf>
    <xf numFmtId="2" fontId="4" fillId="0" borderId="1" xfId="0" applyNumberFormat="1" applyFont="1" applyFill="1" applyBorder="1" applyAlignment="1">
      <alignment horizontal="center" vertical="center"/>
    </xf>
    <xf numFmtId="0" fontId="0" fillId="12" borderId="1" xfId="0" applyFill="1" applyBorder="1" applyAlignment="1">
      <alignment horizontal="center" vertical="center"/>
    </xf>
    <xf numFmtId="0" fontId="0" fillId="6" borderId="5" xfId="0" applyFill="1" applyBorder="1" applyAlignment="1">
      <alignment horizontal="center" vertical="center" wrapText="1"/>
    </xf>
    <xf numFmtId="0" fontId="0" fillId="0" borderId="0" xfId="0" applyFill="1" applyBorder="1"/>
    <xf numFmtId="0" fontId="0" fillId="0" borderId="0" xfId="0" applyFill="1" applyBorder="1" applyAlignment="1">
      <alignment horizontal="center" vertical="center"/>
    </xf>
    <xf numFmtId="0" fontId="0" fillId="8" borderId="0" xfId="0" applyFill="1" applyBorder="1" applyAlignment="1">
      <alignment horizontal="center" vertical="center"/>
    </xf>
    <xf numFmtId="0" fontId="0" fillId="8" borderId="6" xfId="0"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Junior Jesus Quispe Ricra" id="{D101D665-75E1-4165-A0CF-365C2FBB2EC6}" userId="S::97139@sistemas.frc.utn.edu.ar::03d9ef1a-078f-46ef-a228-08e1671e3a99"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 dT="2026-05-12T13:08:23.33" personId="{D101D665-75E1-4165-A0CF-365C2FBB2EC6}" id="{2AC92C0D-91E0-4D44-A3F2-EF4B8018F531}">
    <text xml:space="preserve">Si el técnico estaba realizando una reparación en ese momento, debe interrumpirla, atender al cliente y, una vez que este se retira, retomar la reparación desde el punto exacto en el que la dejó. 
</text>
  </threadedComment>
  <threadedComment ref="T16" dT="2026-05-12T21:23:25.97" personId="{D101D665-75E1-4165-A0CF-365C2FBB2EC6}" id="{8099394A-7DAB-4E3F-B9F6-5B67BC2399FA}">
    <text>Cuando tengo un equipo interrumpido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A34"/>
  <sheetViews>
    <sheetView tabSelected="1" topLeftCell="A8" zoomScale="71" zoomScaleNormal="91" workbookViewId="0">
      <selection activeCell="AS20" sqref="AS20"/>
    </sheetView>
  </sheetViews>
  <sheetFormatPr defaultRowHeight="14.5" x14ac:dyDescent="0.35"/>
  <cols>
    <col min="1" max="1" width="16.453125" style="6" customWidth="1"/>
    <col min="2" max="2" width="11.08984375" style="6" customWidth="1"/>
    <col min="3" max="3" width="11" style="6" customWidth="1"/>
    <col min="4" max="4" width="14" style="6" customWidth="1"/>
    <col min="5" max="5" width="13.453125" style="6" customWidth="1"/>
    <col min="6" max="7" width="8.7265625" style="6"/>
    <col min="8" max="9" width="11.26953125" style="6" customWidth="1"/>
    <col min="10" max="10" width="12.453125" style="6" customWidth="1"/>
    <col min="11" max="12" width="11.26953125" style="6" customWidth="1"/>
    <col min="13" max="13" width="11" style="6" customWidth="1"/>
    <col min="14" max="14" width="11.6328125" style="6" customWidth="1"/>
    <col min="15" max="15" width="13.1796875" style="6" customWidth="1"/>
    <col min="16" max="16" width="20.6328125" style="6" customWidth="1"/>
    <col min="17" max="17" width="10.81640625" style="6" customWidth="1"/>
    <col min="18" max="18" width="8.7265625" style="6"/>
    <col min="19" max="19" width="13.36328125" style="6" customWidth="1"/>
    <col min="20" max="20" width="13" style="6" customWidth="1"/>
    <col min="21" max="21" width="1.81640625" style="6" customWidth="1"/>
    <col min="22" max="22" width="15.08984375" style="6" customWidth="1"/>
    <col min="23" max="23" width="22.36328125" style="6" customWidth="1"/>
    <col min="24" max="24" width="1.453125" style="6" customWidth="1"/>
    <col min="25" max="25" width="2.1796875" style="6" customWidth="1"/>
    <col min="26" max="28" width="8.7265625" style="6"/>
    <col min="29" max="29" width="14.7265625" style="6" customWidth="1"/>
    <col min="30" max="30" width="12.7265625" style="6" customWidth="1"/>
    <col min="31" max="31" width="10.453125" style="6" customWidth="1"/>
    <col min="32" max="32" width="2.26953125" style="6" customWidth="1"/>
    <col min="33" max="33" width="12.36328125" style="6" customWidth="1"/>
    <col min="34" max="34" width="12.90625" style="6" customWidth="1"/>
    <col min="35" max="35" width="12.26953125" style="6" customWidth="1"/>
    <col min="36" max="43" width="8.7265625" style="6"/>
    <col min="44" max="44" width="25.36328125" style="6" customWidth="1"/>
    <col min="45" max="45" width="16.7265625" style="6" customWidth="1"/>
    <col min="46" max="48" width="8.7265625" style="6"/>
    <col min="49" max="49" width="17.1796875" style="6" customWidth="1"/>
    <col min="50" max="50" width="16.7265625" style="6" customWidth="1"/>
    <col min="51" max="16384" width="8.7265625" style="6"/>
  </cols>
  <sheetData>
    <row r="1" spans="1:53" ht="29" x14ac:dyDescent="0.35">
      <c r="A1" s="2" t="s">
        <v>9</v>
      </c>
      <c r="E1" s="9" t="s">
        <v>15</v>
      </c>
      <c r="N1" s="5" t="s">
        <v>16</v>
      </c>
    </row>
    <row r="2" spans="1:53" ht="43.5" x14ac:dyDescent="0.35">
      <c r="A2" s="7" t="s">
        <v>6</v>
      </c>
      <c r="B2" s="8">
        <v>10</v>
      </c>
      <c r="C2" s="8" t="s">
        <v>7</v>
      </c>
      <c r="E2" s="8" t="s">
        <v>14</v>
      </c>
      <c r="F2" s="8" t="s">
        <v>13</v>
      </c>
      <c r="G2" s="8" t="s">
        <v>12</v>
      </c>
      <c r="N2" s="7" t="s">
        <v>17</v>
      </c>
      <c r="O2" s="8">
        <v>90</v>
      </c>
      <c r="P2" s="8" t="s">
        <v>12</v>
      </c>
    </row>
    <row r="3" spans="1:53" ht="29" customHeight="1" x14ac:dyDescent="0.35">
      <c r="A3" s="7" t="s">
        <v>8</v>
      </c>
      <c r="B3" s="8">
        <v>18</v>
      </c>
      <c r="C3" s="8" t="s">
        <v>7</v>
      </c>
      <c r="AQ3" s="15"/>
      <c r="AR3" s="15"/>
      <c r="AS3" s="15"/>
      <c r="AT3" s="15"/>
    </row>
    <row r="4" spans="1:53" x14ac:dyDescent="0.35">
      <c r="AQ4" s="15"/>
      <c r="AR4" s="15"/>
      <c r="AS4" s="15"/>
      <c r="AT4" s="15"/>
    </row>
    <row r="5" spans="1:53" x14ac:dyDescent="0.35">
      <c r="N5" s="4" t="s">
        <v>5</v>
      </c>
      <c r="AQ5" s="15"/>
      <c r="AR5" s="15"/>
      <c r="AS5" s="15"/>
      <c r="AT5" s="15"/>
    </row>
    <row r="6" spans="1:53" x14ac:dyDescent="0.35">
      <c r="A6" s="2" t="s">
        <v>10</v>
      </c>
      <c r="N6" s="8" t="s">
        <v>18</v>
      </c>
      <c r="O6" s="8" t="s">
        <v>21</v>
      </c>
      <c r="P6" s="8" t="s">
        <v>22</v>
      </c>
      <c r="AQ6" s="15"/>
      <c r="AR6" s="15"/>
      <c r="AS6" s="15"/>
      <c r="AT6" s="15"/>
    </row>
    <row r="7" spans="1:53" ht="29" x14ac:dyDescent="0.35">
      <c r="A7" s="7" t="s">
        <v>11</v>
      </c>
      <c r="B7" s="8">
        <v>45</v>
      </c>
      <c r="C7" s="8" t="s">
        <v>12</v>
      </c>
      <c r="E7" s="3" t="s">
        <v>59</v>
      </c>
      <c r="F7" s="8" t="s">
        <v>21</v>
      </c>
      <c r="G7" s="8" t="s">
        <v>62</v>
      </c>
      <c r="N7" s="8" t="s">
        <v>19</v>
      </c>
      <c r="O7" s="8" t="s">
        <v>23</v>
      </c>
      <c r="P7" s="8" t="s">
        <v>23</v>
      </c>
      <c r="AQ7" s="15"/>
      <c r="AR7" s="22"/>
      <c r="AS7" s="22"/>
      <c r="AT7" s="22"/>
    </row>
    <row r="8" spans="1:53" ht="34" customHeight="1" x14ac:dyDescent="0.35">
      <c r="E8" s="8" t="s">
        <v>60</v>
      </c>
      <c r="F8" s="8">
        <v>0.3</v>
      </c>
      <c r="G8" s="8">
        <f>F8</f>
        <v>0.3</v>
      </c>
      <c r="N8" s="8" t="s">
        <v>20</v>
      </c>
      <c r="O8" s="8" t="s">
        <v>23</v>
      </c>
      <c r="P8" s="8">
        <v>1</v>
      </c>
      <c r="AQ8" s="15"/>
      <c r="AR8" s="22"/>
      <c r="AS8" s="22"/>
      <c r="AT8" s="22"/>
    </row>
    <row r="9" spans="1:53" x14ac:dyDescent="0.35">
      <c r="E9" s="8" t="s">
        <v>61</v>
      </c>
      <c r="F9" s="8">
        <v>0.7</v>
      </c>
      <c r="G9" s="8">
        <f>G8+F9</f>
        <v>1</v>
      </c>
      <c r="AQ9" s="15"/>
      <c r="AR9" s="22"/>
      <c r="AS9" s="22"/>
      <c r="AT9" s="22"/>
    </row>
    <row r="10" spans="1:53" x14ac:dyDescent="0.35">
      <c r="AX10" s="15"/>
      <c r="AY10" s="15"/>
      <c r="AZ10" s="15"/>
      <c r="BA10" s="15"/>
    </row>
    <row r="12" spans="1:53" x14ac:dyDescent="0.35">
      <c r="C12" s="15"/>
      <c r="D12" s="15"/>
      <c r="E12" s="15"/>
      <c r="F12" s="15"/>
      <c r="G12" s="15"/>
    </row>
    <row r="13" spans="1:53" x14ac:dyDescent="0.35">
      <c r="B13" s="11">
        <f ca="1">RAND()</f>
        <v>0.85600868159281895</v>
      </c>
      <c r="C13" s="15"/>
      <c r="D13" s="15"/>
      <c r="E13" s="15"/>
      <c r="F13" s="15"/>
      <c r="G13" s="15"/>
    </row>
    <row r="14" spans="1:53" x14ac:dyDescent="0.35">
      <c r="C14" s="15"/>
      <c r="D14" s="15"/>
      <c r="E14" s="15"/>
      <c r="F14" s="15"/>
      <c r="G14" s="15"/>
      <c r="H14" s="15"/>
      <c r="I14" s="33" t="s">
        <v>58</v>
      </c>
      <c r="J14" s="15"/>
      <c r="K14" s="15"/>
      <c r="L14" s="15"/>
      <c r="Z14" s="23" t="s">
        <v>5</v>
      </c>
      <c r="AA14" s="23"/>
      <c r="AB14" s="23"/>
      <c r="AC14" s="23"/>
      <c r="AD14" s="23"/>
      <c r="AE14" s="23"/>
      <c r="AG14" s="24" t="s">
        <v>48</v>
      </c>
      <c r="AR14" s="4" t="s">
        <v>30</v>
      </c>
    </row>
    <row r="15" spans="1:53" x14ac:dyDescent="0.35">
      <c r="C15" s="1"/>
      <c r="D15" s="1" t="s">
        <v>26</v>
      </c>
      <c r="E15" s="1"/>
      <c r="F15" s="12" t="s">
        <v>56</v>
      </c>
      <c r="G15" s="12"/>
      <c r="H15" s="12"/>
      <c r="I15" s="32"/>
      <c r="J15" s="32"/>
      <c r="K15" s="32"/>
      <c r="L15" s="32"/>
      <c r="M15" s="13" t="s">
        <v>41</v>
      </c>
      <c r="N15" s="13"/>
      <c r="O15" s="13"/>
      <c r="P15" s="21" t="s">
        <v>42</v>
      </c>
      <c r="Q15" s="21"/>
      <c r="R15" s="21"/>
      <c r="S15" s="21"/>
      <c r="T15" s="21"/>
      <c r="U15" s="15"/>
      <c r="V15" s="15"/>
      <c r="W15" s="15"/>
      <c r="X15" s="15"/>
      <c r="Z15" s="8">
        <v>1</v>
      </c>
      <c r="AA15" s="8">
        <v>2</v>
      </c>
      <c r="AB15" s="8">
        <v>3</v>
      </c>
      <c r="AC15" s="8">
        <v>4</v>
      </c>
      <c r="AD15" s="8">
        <v>5</v>
      </c>
      <c r="AE15" s="8" t="s">
        <v>46</v>
      </c>
      <c r="AG15" s="19">
        <v>1</v>
      </c>
      <c r="AH15" s="19"/>
      <c r="AI15" s="19">
        <v>2</v>
      </c>
      <c r="AJ15" s="19"/>
      <c r="AK15" s="19">
        <v>3</v>
      </c>
      <c r="AL15" s="19"/>
      <c r="AM15" s="19">
        <v>4</v>
      </c>
      <c r="AN15" s="19"/>
      <c r="AO15" s="19">
        <v>5</v>
      </c>
      <c r="AP15" s="19"/>
      <c r="AR15" s="20" t="s">
        <v>37</v>
      </c>
      <c r="AS15" s="39" t="s">
        <v>33</v>
      </c>
      <c r="AT15" s="39"/>
      <c r="AU15" s="39"/>
      <c r="AV15" s="40"/>
      <c r="AW15" s="17" t="s">
        <v>36</v>
      </c>
      <c r="AX15" s="18"/>
      <c r="AZ15" s="37"/>
      <c r="BA15" s="38"/>
    </row>
    <row r="16" spans="1:53" ht="87" x14ac:dyDescent="0.35">
      <c r="A16" s="8" t="s">
        <v>0</v>
      </c>
      <c r="B16" s="8" t="s">
        <v>39</v>
      </c>
      <c r="C16" s="8" t="s">
        <v>1</v>
      </c>
      <c r="D16" s="7" t="s">
        <v>27</v>
      </c>
      <c r="E16" s="3" t="s">
        <v>2</v>
      </c>
      <c r="F16" s="8" t="s">
        <v>1</v>
      </c>
      <c r="G16" s="7" t="s">
        <v>57</v>
      </c>
      <c r="H16" s="3" t="s">
        <v>3</v>
      </c>
      <c r="I16" s="26" t="s">
        <v>1</v>
      </c>
      <c r="J16" s="26" t="s">
        <v>59</v>
      </c>
      <c r="K16" s="26" t="s">
        <v>1</v>
      </c>
      <c r="L16" s="26" t="s">
        <v>63</v>
      </c>
      <c r="M16" s="8" t="s">
        <v>1</v>
      </c>
      <c r="N16" s="7" t="s">
        <v>29</v>
      </c>
      <c r="O16" s="3" t="s">
        <v>28</v>
      </c>
      <c r="P16" s="8" t="s">
        <v>4</v>
      </c>
      <c r="Q16" s="7" t="s">
        <v>43</v>
      </c>
      <c r="R16" s="7" t="s">
        <v>44</v>
      </c>
      <c r="S16" s="7" t="s">
        <v>50</v>
      </c>
      <c r="T16" s="7" t="s">
        <v>45</v>
      </c>
      <c r="U16" s="25"/>
      <c r="V16" s="26" t="s">
        <v>52</v>
      </c>
      <c r="W16" s="26" t="s">
        <v>51</v>
      </c>
      <c r="X16" s="25"/>
      <c r="Z16" s="8" t="s">
        <v>4</v>
      </c>
      <c r="AA16" s="8" t="s">
        <v>4</v>
      </c>
      <c r="AB16" s="8" t="s">
        <v>4</v>
      </c>
      <c r="AC16" s="8" t="s">
        <v>4</v>
      </c>
      <c r="AD16" s="8" t="s">
        <v>4</v>
      </c>
      <c r="AE16" s="8" t="s">
        <v>4</v>
      </c>
      <c r="AG16" s="8" t="s">
        <v>4</v>
      </c>
      <c r="AH16" s="7" t="s">
        <v>47</v>
      </c>
      <c r="AI16" s="8" t="s">
        <v>4</v>
      </c>
      <c r="AJ16" s="7" t="s">
        <v>47</v>
      </c>
      <c r="AK16" s="8" t="s">
        <v>4</v>
      </c>
      <c r="AL16" s="7" t="s">
        <v>47</v>
      </c>
      <c r="AM16" s="8" t="s">
        <v>4</v>
      </c>
      <c r="AN16" s="7" t="s">
        <v>47</v>
      </c>
      <c r="AO16" s="8" t="s">
        <v>4</v>
      </c>
      <c r="AP16" s="7" t="s">
        <v>47</v>
      </c>
      <c r="AR16" s="36" t="s">
        <v>31</v>
      </c>
      <c r="AS16" s="14" t="s">
        <v>38</v>
      </c>
      <c r="AT16" s="16" t="s">
        <v>34</v>
      </c>
      <c r="AU16" s="16" t="s">
        <v>32</v>
      </c>
      <c r="AV16" s="16" t="s">
        <v>35</v>
      </c>
      <c r="AW16" s="10" t="s">
        <v>24</v>
      </c>
      <c r="AX16" s="10" t="s">
        <v>25</v>
      </c>
      <c r="AZ16" s="38"/>
      <c r="BA16" s="38"/>
    </row>
    <row r="17" spans="1:53" x14ac:dyDescent="0.35">
      <c r="A17" s="8" t="s">
        <v>49</v>
      </c>
      <c r="B17" s="27">
        <v>0</v>
      </c>
      <c r="C17" s="8">
        <v>0.56000000000000005</v>
      </c>
      <c r="D17" s="27">
        <f xml:space="preserve"> - 45*LN(1-C17)</f>
        <v>36.944124843142362</v>
      </c>
      <c r="E17" s="28">
        <f>B17+D17</f>
        <v>36.944124843142362</v>
      </c>
      <c r="F17" s="8"/>
      <c r="G17" s="8"/>
      <c r="H17" s="8"/>
      <c r="I17" s="30"/>
      <c r="J17" s="30"/>
      <c r="K17" s="30"/>
      <c r="L17" s="30"/>
      <c r="M17" s="8"/>
      <c r="N17" s="8"/>
      <c r="O17" s="8"/>
      <c r="P17" s="8" t="s">
        <v>53</v>
      </c>
      <c r="Q17" s="8">
        <v>0</v>
      </c>
      <c r="R17" s="8">
        <v>0</v>
      </c>
      <c r="S17" s="8">
        <v>0</v>
      </c>
      <c r="T17" s="8"/>
      <c r="V17" s="8">
        <v>0</v>
      </c>
      <c r="W17" s="8">
        <v>0</v>
      </c>
      <c r="Z17" s="8"/>
      <c r="AA17" s="8"/>
      <c r="AB17" s="8"/>
      <c r="AC17" s="8"/>
      <c r="AD17" s="8"/>
      <c r="AE17" s="8"/>
      <c r="AG17" s="8"/>
      <c r="AH17" s="8"/>
      <c r="AI17" s="8"/>
      <c r="AJ17" s="8"/>
      <c r="AK17" s="8"/>
      <c r="AL17" s="8"/>
      <c r="AM17" s="8"/>
      <c r="AN17" s="8"/>
      <c r="AO17" s="8"/>
      <c r="AP17" s="8"/>
    </row>
    <row r="18" spans="1:53" x14ac:dyDescent="0.35">
      <c r="A18" s="8" t="s">
        <v>26</v>
      </c>
      <c r="B18" s="27">
        <f>E17</f>
        <v>36.944124843142362</v>
      </c>
      <c r="C18" s="8">
        <v>0.25</v>
      </c>
      <c r="D18" s="27">
        <f xml:space="preserve"> - 45*LN(1-C18)</f>
        <v>12.94569326033014</v>
      </c>
      <c r="E18" s="29">
        <f>B18+D18</f>
        <v>49.8898181034725</v>
      </c>
      <c r="F18" s="8">
        <v>0.76</v>
      </c>
      <c r="G18" s="27">
        <f xml:space="preserve"> 10 + F18*(20-10)</f>
        <v>17.600000000000001</v>
      </c>
      <c r="H18" s="28">
        <f>B18+G18</f>
        <v>54.544124843142363</v>
      </c>
      <c r="I18" s="8"/>
      <c r="J18" s="8"/>
      <c r="K18" s="31"/>
      <c r="L18" s="31"/>
      <c r="M18" s="8"/>
      <c r="N18" s="8"/>
      <c r="O18" s="8"/>
      <c r="P18" s="8" t="s">
        <v>54</v>
      </c>
      <c r="Q18" s="8">
        <v>0</v>
      </c>
      <c r="R18" s="8">
        <v>0</v>
      </c>
      <c r="S18" s="8">
        <v>0</v>
      </c>
      <c r="T18" s="8"/>
      <c r="V18" s="8"/>
      <c r="W18" s="8"/>
      <c r="Z18" s="8" t="s">
        <v>55</v>
      </c>
      <c r="AA18" s="8"/>
      <c r="AB18" s="8"/>
      <c r="AC18" s="8"/>
      <c r="AD18" s="8"/>
      <c r="AE18" s="8"/>
      <c r="AG18" s="8"/>
      <c r="AH18" s="8"/>
      <c r="AI18" s="8"/>
      <c r="AJ18" s="8"/>
      <c r="AK18" s="8"/>
      <c r="AL18" s="8"/>
      <c r="AM18" s="8"/>
      <c r="AN18" s="8"/>
      <c r="AO18" s="8"/>
      <c r="AP18" s="8"/>
      <c r="BA18" s="15"/>
    </row>
    <row r="19" spans="1:53" x14ac:dyDescent="0.35">
      <c r="A19" s="8" t="s">
        <v>40</v>
      </c>
      <c r="B19" s="8"/>
      <c r="C19" s="27"/>
      <c r="D19" s="27"/>
      <c r="E19" s="8"/>
      <c r="F19" s="8"/>
      <c r="G19" s="27"/>
      <c r="H19" s="8"/>
      <c r="I19" s="34">
        <f>0.52</f>
        <v>0.52</v>
      </c>
      <c r="J19" s="31" t="str">
        <f>IF(I19&lt;G8,E8,E9)</f>
        <v>No</v>
      </c>
      <c r="K19" s="30"/>
      <c r="L19" s="30"/>
      <c r="M19" s="8"/>
      <c r="N19" s="8"/>
      <c r="O19" s="8"/>
      <c r="P19" s="8" t="s">
        <v>64</v>
      </c>
      <c r="Q19" s="6">
        <v>0</v>
      </c>
      <c r="R19" s="8">
        <v>1</v>
      </c>
      <c r="S19" s="8">
        <v>0</v>
      </c>
      <c r="T19" s="8"/>
      <c r="V19" s="8"/>
      <c r="W19" s="8"/>
      <c r="Z19" s="35"/>
      <c r="AA19" s="8"/>
      <c r="AB19" s="8"/>
      <c r="AC19" s="8"/>
      <c r="AD19" s="8"/>
      <c r="AE19" s="8"/>
      <c r="AG19" s="8"/>
      <c r="AH19" s="8"/>
      <c r="AI19" s="8"/>
      <c r="AJ19" s="8"/>
      <c r="AK19" s="8"/>
      <c r="AL19" s="8"/>
      <c r="AM19" s="8"/>
      <c r="AN19" s="8"/>
      <c r="AO19" s="8"/>
      <c r="AP19" s="8"/>
    </row>
    <row r="20" spans="1:53" x14ac:dyDescent="0.35">
      <c r="A20" s="8"/>
      <c r="B20" s="8"/>
      <c r="C20" s="27"/>
      <c r="D20" s="27"/>
      <c r="E20" s="8"/>
      <c r="F20" s="8"/>
      <c r="G20" s="27"/>
      <c r="H20" s="8"/>
      <c r="I20" s="30"/>
      <c r="J20" s="30"/>
      <c r="K20" s="30"/>
      <c r="L20" s="30"/>
      <c r="M20" s="8"/>
      <c r="N20" s="8"/>
      <c r="O20" s="8"/>
      <c r="P20" s="8"/>
      <c r="Q20" s="8"/>
      <c r="R20" s="8"/>
      <c r="S20" s="8"/>
      <c r="T20" s="8"/>
      <c r="V20" s="8"/>
      <c r="W20" s="8"/>
      <c r="Z20" s="8"/>
      <c r="AA20" s="8"/>
      <c r="AB20" s="8"/>
      <c r="AC20" s="8"/>
      <c r="AD20" s="8"/>
      <c r="AE20" s="8"/>
      <c r="AG20" s="8"/>
      <c r="AH20" s="8"/>
      <c r="AI20" s="8"/>
      <c r="AJ20" s="8"/>
      <c r="AK20" s="8"/>
      <c r="AL20" s="8"/>
      <c r="AM20" s="8"/>
      <c r="AN20" s="8"/>
      <c r="AO20" s="8"/>
      <c r="AP20" s="8"/>
    </row>
    <row r="21" spans="1:53" x14ac:dyDescent="0.35">
      <c r="A21" s="8"/>
      <c r="B21" s="8"/>
      <c r="C21" s="8"/>
      <c r="D21" s="8"/>
      <c r="E21" s="8"/>
      <c r="F21" s="8"/>
      <c r="G21" s="27"/>
      <c r="H21" s="8"/>
      <c r="I21" s="30"/>
      <c r="J21" s="30"/>
      <c r="K21" s="30"/>
      <c r="L21" s="30"/>
      <c r="M21" s="8"/>
      <c r="N21" s="8"/>
      <c r="O21" s="8"/>
      <c r="P21" s="8"/>
      <c r="Q21" s="8"/>
      <c r="R21" s="8"/>
      <c r="S21" s="8"/>
      <c r="T21" s="8"/>
      <c r="V21" s="8"/>
      <c r="W21" s="8"/>
      <c r="Z21" s="8"/>
      <c r="AA21" s="8"/>
      <c r="AB21" s="8"/>
      <c r="AC21" s="8"/>
      <c r="AD21" s="8"/>
      <c r="AE21" s="8"/>
      <c r="AG21" s="8"/>
      <c r="AH21" s="8"/>
      <c r="AI21" s="8"/>
      <c r="AJ21" s="8"/>
      <c r="AK21" s="8"/>
      <c r="AL21" s="8"/>
      <c r="AM21" s="8"/>
      <c r="AN21" s="8"/>
      <c r="AO21" s="8"/>
      <c r="AP21" s="8"/>
    </row>
    <row r="22" spans="1:53" x14ac:dyDescent="0.35">
      <c r="A22" s="8"/>
      <c r="B22" s="8"/>
      <c r="C22" s="27"/>
      <c r="D22" s="27"/>
      <c r="E22" s="8"/>
      <c r="F22" s="8"/>
      <c r="G22" s="27"/>
      <c r="H22" s="8"/>
      <c r="I22" s="30"/>
      <c r="J22" s="30"/>
      <c r="K22" s="30"/>
      <c r="L22" s="30"/>
      <c r="M22" s="8"/>
      <c r="N22" s="8"/>
      <c r="O22" s="8"/>
      <c r="P22" s="8"/>
      <c r="Q22" s="8"/>
      <c r="R22" s="8"/>
      <c r="S22" s="8"/>
      <c r="T22" s="8"/>
      <c r="V22" s="8"/>
      <c r="W22" s="8"/>
      <c r="Z22" s="8"/>
      <c r="AA22" s="8"/>
      <c r="AB22" s="8"/>
      <c r="AC22" s="8"/>
      <c r="AD22" s="8"/>
      <c r="AE22" s="8"/>
      <c r="AG22" s="8"/>
      <c r="AH22" s="8"/>
      <c r="AI22" s="8"/>
      <c r="AJ22" s="8"/>
      <c r="AK22" s="8"/>
      <c r="AL22" s="8"/>
      <c r="AM22" s="8"/>
      <c r="AN22" s="8"/>
      <c r="AO22" s="8"/>
      <c r="AP22" s="8"/>
    </row>
    <row r="23" spans="1:53" x14ac:dyDescent="0.35">
      <c r="A23" s="8"/>
      <c r="B23" s="8"/>
      <c r="C23" s="27"/>
      <c r="D23" s="27"/>
      <c r="E23" s="8"/>
      <c r="F23" s="8"/>
      <c r="G23" s="27"/>
      <c r="H23" s="8"/>
      <c r="I23" s="30"/>
      <c r="J23" s="30"/>
      <c r="K23" s="30"/>
      <c r="L23" s="30"/>
      <c r="M23" s="8"/>
      <c r="N23" s="8"/>
      <c r="O23" s="8"/>
      <c r="P23" s="8"/>
      <c r="Q23" s="8"/>
      <c r="R23" s="8"/>
      <c r="S23" s="8"/>
      <c r="T23" s="8"/>
      <c r="V23" s="8"/>
      <c r="W23" s="8"/>
      <c r="Z23" s="8"/>
      <c r="AA23" s="8"/>
      <c r="AB23" s="8"/>
      <c r="AC23" s="8"/>
      <c r="AD23" s="8"/>
      <c r="AE23" s="8"/>
      <c r="AG23" s="8"/>
      <c r="AH23" s="8"/>
      <c r="AI23" s="8"/>
      <c r="AJ23" s="8"/>
      <c r="AK23" s="8"/>
      <c r="AL23" s="8"/>
      <c r="AM23" s="8"/>
      <c r="AN23" s="8"/>
      <c r="AO23" s="8"/>
      <c r="AP23" s="8"/>
    </row>
    <row r="24" spans="1:53" x14ac:dyDescent="0.35">
      <c r="A24" s="8"/>
      <c r="B24" s="8"/>
      <c r="C24" s="27"/>
      <c r="D24" s="27"/>
      <c r="E24" s="8"/>
      <c r="F24" s="8"/>
      <c r="G24" s="27"/>
      <c r="H24" s="8"/>
      <c r="I24" s="30"/>
      <c r="J24" s="30"/>
      <c r="K24" s="30"/>
      <c r="L24" s="30"/>
      <c r="M24" s="8"/>
      <c r="N24" s="8"/>
      <c r="O24" s="8"/>
      <c r="P24" s="8"/>
      <c r="Q24" s="8"/>
      <c r="R24" s="8"/>
      <c r="S24" s="8"/>
      <c r="T24" s="8"/>
      <c r="V24" s="8"/>
      <c r="W24" s="8"/>
      <c r="Z24" s="8"/>
      <c r="AA24" s="8"/>
      <c r="AB24" s="8"/>
      <c r="AC24" s="8"/>
      <c r="AD24" s="8"/>
      <c r="AE24" s="8"/>
      <c r="AG24" s="8"/>
      <c r="AH24" s="8"/>
      <c r="AI24" s="8"/>
      <c r="AJ24" s="8"/>
      <c r="AK24" s="8"/>
      <c r="AL24" s="8"/>
      <c r="AM24" s="8"/>
      <c r="AN24" s="8"/>
      <c r="AO24" s="8"/>
      <c r="AP24" s="8"/>
    </row>
    <row r="25" spans="1:53" x14ac:dyDescent="0.35">
      <c r="A25" s="8"/>
      <c r="B25" s="8"/>
      <c r="C25" s="27"/>
      <c r="D25" s="27"/>
      <c r="E25" s="8"/>
      <c r="F25" s="8"/>
      <c r="G25" s="27"/>
      <c r="H25" s="8"/>
      <c r="I25" s="30"/>
      <c r="J25" s="30"/>
      <c r="K25" s="30"/>
      <c r="L25" s="30"/>
      <c r="M25" s="8"/>
      <c r="N25" s="8"/>
      <c r="O25" s="8"/>
      <c r="P25" s="8"/>
      <c r="Q25" s="8"/>
      <c r="R25" s="8"/>
      <c r="S25" s="8"/>
      <c r="T25" s="8"/>
      <c r="V25" s="8"/>
      <c r="W25" s="8"/>
      <c r="Z25" s="8"/>
      <c r="AA25" s="8"/>
      <c r="AB25" s="8"/>
      <c r="AC25" s="8"/>
      <c r="AD25" s="8"/>
      <c r="AE25" s="8"/>
      <c r="AG25" s="8"/>
      <c r="AH25" s="8"/>
      <c r="AI25" s="8"/>
      <c r="AJ25" s="8"/>
      <c r="AK25" s="8"/>
      <c r="AL25" s="8"/>
      <c r="AM25" s="8"/>
      <c r="AN25" s="8"/>
      <c r="AO25" s="8"/>
      <c r="AP25" s="8"/>
    </row>
    <row r="26" spans="1:53" x14ac:dyDescent="0.35">
      <c r="A26" s="8"/>
      <c r="B26" s="8"/>
      <c r="C26" s="27"/>
      <c r="D26" s="27"/>
      <c r="E26" s="8"/>
      <c r="F26" s="8"/>
      <c r="G26" s="27"/>
      <c r="H26" s="8"/>
      <c r="I26" s="30"/>
      <c r="J26" s="30"/>
      <c r="K26" s="30"/>
      <c r="L26" s="30"/>
      <c r="M26" s="8"/>
      <c r="N26" s="8"/>
      <c r="O26" s="8"/>
      <c r="P26" s="8"/>
      <c r="Q26" s="8"/>
      <c r="R26" s="8"/>
      <c r="S26" s="8"/>
      <c r="T26" s="8"/>
      <c r="V26" s="8"/>
      <c r="W26" s="8"/>
      <c r="Z26" s="8"/>
      <c r="AA26" s="8"/>
      <c r="AB26" s="8"/>
      <c r="AC26" s="8"/>
      <c r="AD26" s="8"/>
      <c r="AE26" s="8"/>
      <c r="AG26" s="8"/>
      <c r="AH26" s="8"/>
      <c r="AI26" s="8"/>
      <c r="AJ26" s="8"/>
      <c r="AK26" s="8"/>
      <c r="AL26" s="8"/>
      <c r="AM26" s="8"/>
      <c r="AN26" s="8"/>
      <c r="AO26" s="8"/>
      <c r="AP26" s="8"/>
    </row>
    <row r="27" spans="1:53" x14ac:dyDescent="0.35">
      <c r="C27" s="11"/>
      <c r="G27" s="11"/>
    </row>
    <row r="28" spans="1:53" x14ac:dyDescent="0.35">
      <c r="C28" s="11"/>
      <c r="G28" s="11"/>
    </row>
    <row r="29" spans="1:53" x14ac:dyDescent="0.35">
      <c r="C29" s="11"/>
      <c r="G29" s="11"/>
    </row>
    <row r="30" spans="1:53" x14ac:dyDescent="0.35">
      <c r="C30" s="11"/>
      <c r="G30" s="11"/>
    </row>
    <row r="31" spans="1:53" x14ac:dyDescent="0.35">
      <c r="C31" s="11"/>
      <c r="G31" s="11"/>
    </row>
    <row r="32" spans="1:53" x14ac:dyDescent="0.35">
      <c r="C32" s="11"/>
      <c r="G32" s="11"/>
    </row>
    <row r="33" spans="3:7" x14ac:dyDescent="0.35">
      <c r="C33" s="11"/>
      <c r="G33" s="11"/>
    </row>
    <row r="34" spans="3:7" x14ac:dyDescent="0.35">
      <c r="C34" s="11"/>
    </row>
  </sheetData>
  <mergeCells count="10">
    <mergeCell ref="AK15:AL15"/>
    <mergeCell ref="AM15:AN15"/>
    <mergeCell ref="AO15:AP15"/>
    <mergeCell ref="AS15:AV15"/>
    <mergeCell ref="AW15:AX15"/>
    <mergeCell ref="AG15:AH15"/>
    <mergeCell ref="P15:T15"/>
    <mergeCell ref="AI15:AJ15"/>
    <mergeCell ref="F15:H15"/>
    <mergeCell ref="M15:O15"/>
  </mergeCell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92AB3F-D6B3-4AD6-8101-AA40A564585E}">
  <dimension ref="A1"/>
  <sheetViews>
    <sheetView workbookViewId="0"/>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Jr_Fley .</dc:creator>
  <cp:lastModifiedBy>Junior Jesus Quispe Ricra</cp:lastModifiedBy>
  <dcterms:created xsi:type="dcterms:W3CDTF">2015-06-05T18:17:20Z</dcterms:created>
  <dcterms:modified xsi:type="dcterms:W3CDTF">2026-05-12T22:26:44Z</dcterms:modified>
</cp:coreProperties>
</file>