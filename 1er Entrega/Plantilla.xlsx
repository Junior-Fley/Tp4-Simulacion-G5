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_ju\OneDrive\Escritorio\Tp4-Simulacion-G5\1er Entrega\"/>
    </mc:Choice>
  </mc:AlternateContent>
  <xr:revisionPtr revIDLastSave="0" documentId="13_ncr:1_{B3F41667-2752-4B13-AF08-5E6A0026612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AB30" i="1"/>
  <c r="AB31" i="1"/>
  <c r="AB32" i="1"/>
  <c r="AB33" i="1" s="1"/>
  <c r="AB34" i="1" s="1"/>
  <c r="AB35" i="1" s="1"/>
  <c r="AB36" i="1" s="1"/>
  <c r="AB37" i="1" s="1"/>
  <c r="AB29" i="1"/>
  <c r="AB27" i="1"/>
  <c r="AB26" i="1"/>
  <c r="AB28" i="1"/>
  <c r="AB24" i="1"/>
  <c r="AB25" i="1"/>
  <c r="AB23" i="1"/>
  <c r="BF37" i="1"/>
  <c r="BC37" i="1"/>
  <c r="BB37" i="1"/>
  <c r="J37" i="1"/>
  <c r="BF36" i="1"/>
  <c r="BF35" i="1"/>
  <c r="BB36" i="1"/>
  <c r="N36" i="1"/>
  <c r="Q35" i="1"/>
  <c r="R35" i="1" s="1"/>
  <c r="J36" i="1" s="1"/>
  <c r="M35" i="1"/>
  <c r="N35" i="1" s="1"/>
  <c r="M32" i="1"/>
  <c r="BB34" i="1"/>
  <c r="BB35" i="1" s="1"/>
  <c r="X34" i="1"/>
  <c r="BB32" i="1"/>
  <c r="BB33" i="1" s="1"/>
  <c r="Q33" i="1"/>
  <c r="Q31" i="1"/>
  <c r="Q29" i="1"/>
  <c r="M31" i="1"/>
  <c r="M29" i="1"/>
  <c r="W30" i="1"/>
  <c r="X30" i="1" s="1"/>
  <c r="Q26" i="1"/>
  <c r="R26" i="1" s="1"/>
  <c r="J27" i="1" s="1"/>
  <c r="M26" i="1"/>
  <c r="N26" i="1" s="1"/>
  <c r="N27" i="1" s="1"/>
  <c r="N28" i="1" s="1"/>
  <c r="J29" i="1" s="1"/>
  <c r="AU25" i="1"/>
  <c r="X25" i="1"/>
  <c r="X24" i="1"/>
  <c r="Q23" i="1"/>
  <c r="M22" i="1"/>
  <c r="Q21" i="1"/>
  <c r="Q22" i="1" s="1"/>
  <c r="M20" i="1"/>
  <c r="I14" i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Q19" i="1"/>
  <c r="Q20" i="1" s="1"/>
  <c r="M18" i="1"/>
  <c r="Q17" i="1"/>
  <c r="Q18" i="1" s="1"/>
  <c r="M17" i="1"/>
  <c r="X15" i="1"/>
  <c r="AB16" i="1" s="1"/>
  <c r="Q14" i="1"/>
  <c r="AA15" i="1" s="1"/>
  <c r="AA16" i="1" s="1"/>
  <c r="M14" i="1"/>
  <c r="N14" i="1" s="1"/>
  <c r="N15" i="1" s="1"/>
  <c r="J17" i="1" s="1"/>
  <c r="M13" i="1"/>
  <c r="N13" i="1" s="1"/>
  <c r="AA17" i="1" l="1"/>
  <c r="N29" i="1"/>
  <c r="N30" i="1" s="1"/>
  <c r="J31" i="1" s="1"/>
  <c r="R31" i="1" s="1"/>
  <c r="R32" i="1" s="1"/>
  <c r="J33" i="1" s="1"/>
  <c r="R33" i="1" s="1"/>
  <c r="J34" i="1" s="1"/>
  <c r="BF34" i="1" s="1"/>
  <c r="R29" i="1"/>
  <c r="J30" i="1" s="1"/>
  <c r="N16" i="1"/>
  <c r="R14" i="1"/>
  <c r="J15" i="1" s="1"/>
  <c r="R17" i="1"/>
  <c r="N17" i="1"/>
  <c r="J18" i="1" s="1"/>
  <c r="N18" i="1" s="1"/>
  <c r="N19" i="1" s="1"/>
  <c r="J20" i="1" s="1"/>
  <c r="N20" i="1" s="1"/>
  <c r="N21" i="1" s="1"/>
  <c r="J22" i="1" s="1"/>
  <c r="N22" i="1" s="1"/>
  <c r="N23" i="1" s="1"/>
  <c r="N24" i="1" s="1"/>
  <c r="N25" i="1" s="1"/>
  <c r="AB17" i="1"/>
  <c r="AB18" i="1" s="1"/>
  <c r="AB19" i="1" s="1"/>
  <c r="AB20" i="1" s="1"/>
  <c r="AB21" i="1" s="1"/>
  <c r="AB22" i="1" s="1"/>
  <c r="N31" i="1" l="1"/>
  <c r="J32" i="1" s="1"/>
  <c r="N32" i="1" s="1"/>
  <c r="N33" i="1" s="1"/>
  <c r="N34" i="1" s="1"/>
  <c r="J35" i="1" s="1"/>
  <c r="BD35" i="1" s="1"/>
  <c r="X35" i="1" s="1"/>
  <c r="BB30" i="1"/>
  <c r="BB31" i="1" s="1"/>
  <c r="AP15" i="1"/>
  <c r="AP16" i="1" s="1"/>
  <c r="J16" i="1"/>
  <c r="AQ16" i="1" s="1"/>
  <c r="J19" i="1"/>
  <c r="R18" i="1"/>
  <c r="AA18" i="1"/>
  <c r="AA19" i="1" s="1"/>
  <c r="AA20" i="1" s="1"/>
  <c r="BD31" i="1" l="1"/>
  <c r="X31" i="1" s="1"/>
  <c r="R19" i="1"/>
  <c r="R20" i="1" s="1"/>
  <c r="J21" i="1" s="1"/>
  <c r="AT19" i="1"/>
  <c r="AT20" i="1" s="1"/>
  <c r="AT21" i="1" s="1"/>
  <c r="AT22" i="1" s="1"/>
  <c r="AT23" i="1" s="1"/>
  <c r="AT24" i="1" s="1"/>
  <c r="AT25" i="1" s="1"/>
  <c r="AR16" i="1"/>
  <c r="X32" i="1" l="1"/>
  <c r="X33" i="1" s="1"/>
  <c r="AX21" i="1"/>
  <c r="AX22" i="1" s="1"/>
  <c r="AX23" i="1" s="1"/>
  <c r="AX24" i="1" s="1"/>
  <c r="AX25" i="1" s="1"/>
  <c r="AX26" i="1" s="1"/>
  <c r="AX27" i="1" s="1"/>
  <c r="AX28" i="1" s="1"/>
  <c r="R21" i="1"/>
  <c r="R22" i="1" s="1"/>
  <c r="J23" i="1" s="1"/>
  <c r="R23" i="1" s="1"/>
  <c r="J24" i="1" s="1"/>
  <c r="J25" i="1" s="1"/>
  <c r="AZ26" i="1" s="1"/>
  <c r="AA21" i="1"/>
  <c r="AA22" i="1" s="1"/>
  <c r="X26" i="1" l="1"/>
  <c r="X27" i="1" s="1"/>
  <c r="J28" i="1" s="1"/>
  <c r="AZ27" i="1"/>
  <c r="AZ28" i="1" s="1"/>
</calcChain>
</file>

<file path=xl/sharedStrings.xml><?xml version="1.0" encoding="utf-8"?>
<sst xmlns="http://schemas.openxmlformats.org/spreadsheetml/2006/main" count="249" uniqueCount="119">
  <si>
    <t>Horario Apertura</t>
  </si>
  <si>
    <t>Horario Cierre</t>
  </si>
  <si>
    <t>hs</t>
  </si>
  <si>
    <t>Llegada de Clientes</t>
  </si>
  <si>
    <t>Media</t>
  </si>
  <si>
    <t>Actividades</t>
  </si>
  <si>
    <t xml:space="preserve">Atender Cliente </t>
  </si>
  <si>
    <t>Reparar</t>
  </si>
  <si>
    <t>Prioridad</t>
  </si>
  <si>
    <t>Alta</t>
  </si>
  <si>
    <t>Baja</t>
  </si>
  <si>
    <t>Demora</t>
  </si>
  <si>
    <t>Uniforme</t>
  </si>
  <si>
    <t>a</t>
  </si>
  <si>
    <t>b</t>
  </si>
  <si>
    <t>Valores</t>
  </si>
  <si>
    <t>Exponencial</t>
  </si>
  <si>
    <t>Atender al Cliente</t>
  </si>
  <si>
    <t>Pr</t>
  </si>
  <si>
    <t>Presupuesto Elevado</t>
  </si>
  <si>
    <t>Presupuesto Normal</t>
  </si>
  <si>
    <t>Pr Acumulada</t>
  </si>
  <si>
    <t>iz</t>
  </si>
  <si>
    <t>de</t>
  </si>
  <si>
    <t>Situación</t>
  </si>
  <si>
    <t>Cliente con Presupuesto Elevado</t>
  </si>
  <si>
    <t>A las 18hs se deja se atender clientes y se realizan todas las reparaciones restantes.</t>
  </si>
  <si>
    <t>T = -45 * ln(1-RND)</t>
  </si>
  <si>
    <t>T = 10 + RND*(20-10)</t>
  </si>
  <si>
    <t>T = -90 * ln(1-RND)</t>
  </si>
  <si>
    <t>RND &lt; 0,499</t>
  </si>
  <si>
    <t>Fórmula</t>
  </si>
  <si>
    <t>Hay 2 colas: Recepción y Reparación</t>
  </si>
  <si>
    <t xml:space="preserve">A) </t>
  </si>
  <si>
    <t>Objetos:</t>
  </si>
  <si>
    <t>Cliente</t>
  </si>
  <si>
    <t>Técnico</t>
  </si>
  <si>
    <t>PROTOTIPO DE COLUMNA</t>
  </si>
  <si>
    <t>Evento</t>
  </si>
  <si>
    <t>Hora</t>
  </si>
  <si>
    <t>Próxima Llegada</t>
  </si>
  <si>
    <t>Estado</t>
  </si>
  <si>
    <t>RND Duracion Atencion</t>
  </si>
  <si>
    <t>Duracion Atencion</t>
  </si>
  <si>
    <t>RND Presupuesto</t>
  </si>
  <si>
    <t>Presupuesto</t>
  </si>
  <si>
    <t>Acumuladores</t>
  </si>
  <si>
    <t>Tiempo de Atencion</t>
  </si>
  <si>
    <t>Tiempo de Reparacion</t>
  </si>
  <si>
    <t>Clientes No Atendidos por Cierre</t>
  </si>
  <si>
    <t>RND Llegada</t>
  </si>
  <si>
    <t>RND Duracion Reparacion</t>
  </si>
  <si>
    <t>Tiempo entre Llegadas</t>
  </si>
  <si>
    <t>Libre</t>
  </si>
  <si>
    <t>Normal</t>
  </si>
  <si>
    <t>SI</t>
  </si>
  <si>
    <t>¿Deja para reparar?</t>
  </si>
  <si>
    <t>RND ¿Deja para reparar?</t>
  </si>
  <si>
    <t>Duracion</t>
  </si>
  <si>
    <t>Próximo Fin de la Atencion</t>
  </si>
  <si>
    <t>Reparando</t>
  </si>
  <si>
    <t>Atendiendo</t>
  </si>
  <si>
    <t>Clientes</t>
  </si>
  <si>
    <t>Temporario</t>
  </si>
  <si>
    <t>Permanente</t>
  </si>
  <si>
    <t>Estados Posibles</t>
  </si>
  <si>
    <t>Libre, Atendiendo, Reparando</t>
  </si>
  <si>
    <t>Equipo a Reparar</t>
  </si>
  <si>
    <t>Colas</t>
  </si>
  <si>
    <t xml:space="preserve"> Reparacion</t>
  </si>
  <si>
    <t xml:space="preserve"> Atencion</t>
  </si>
  <si>
    <t>Llegada_Cliente</t>
  </si>
  <si>
    <t>Eventos</t>
  </si>
  <si>
    <t>Fin_Atención</t>
  </si>
  <si>
    <t>Abre_Tienda</t>
  </si>
  <si>
    <t>Cierra_Tienda</t>
  </si>
  <si>
    <t>Fin_Atencion</t>
  </si>
  <si>
    <t>Fin_Reparación</t>
  </si>
  <si>
    <t>N</t>
  </si>
  <si>
    <t>Equipos a Reparar</t>
  </si>
  <si>
    <t>Tiempo Reparacion</t>
  </si>
  <si>
    <t>Hora Fin Reparacion</t>
  </si>
  <si>
    <t>Hora Dejado en Taller</t>
  </si>
  <si>
    <t>i</t>
  </si>
  <si>
    <t>SA</t>
  </si>
  <si>
    <t>En Espera (EE) , Siendo Atendido (SA)</t>
  </si>
  <si>
    <t>En Espera (EE), En Reparacion (ER), Reparacion Interrumpida (RI)</t>
  </si>
  <si>
    <t>EE</t>
  </si>
  <si>
    <t>No Deja para Reparar</t>
  </si>
  <si>
    <t>Deja para Reparar</t>
  </si>
  <si>
    <t>ER</t>
  </si>
  <si>
    <t>Llegada_Cliente 1</t>
  </si>
  <si>
    <t>Fin_Atencion_CL1</t>
  </si>
  <si>
    <t>Fin_Reparacion_CL1</t>
  </si>
  <si>
    <t>Llegada_Cliente 2</t>
  </si>
  <si>
    <t>Llegada_Cliente 3</t>
  </si>
  <si>
    <t>Fin_Atencion_CL2</t>
  </si>
  <si>
    <t>Llegada_Cliente 4</t>
  </si>
  <si>
    <t>Fin_Atencion_CL3</t>
  </si>
  <si>
    <t>Llegada_Cliente 5</t>
  </si>
  <si>
    <t xml:space="preserve"> </t>
  </si>
  <si>
    <t>Fin_Atención_CL4</t>
  </si>
  <si>
    <t>Elevado</t>
  </si>
  <si>
    <t>NO</t>
  </si>
  <si>
    <t>Fin_Atencion_CL5</t>
  </si>
  <si>
    <t>Fin_Reparacion_CL2</t>
  </si>
  <si>
    <t>Llegada_Cliente 6</t>
  </si>
  <si>
    <t>Fin_Atencion_CL6</t>
  </si>
  <si>
    <t>Fin_Reparacion_CL3</t>
  </si>
  <si>
    <t>Llegada_Cliente_7</t>
  </si>
  <si>
    <t>Fin_Atencion_CL7</t>
  </si>
  <si>
    <t>Llegada_Cliente_8</t>
  </si>
  <si>
    <t>Fin_Atencion_CL8</t>
  </si>
  <si>
    <t>Llegada_Cliente_9</t>
  </si>
  <si>
    <t>Fin_Atencion_CL9</t>
  </si>
  <si>
    <t>Llegada_Cliente_10</t>
  </si>
  <si>
    <t>Fin_Atencion_CL10</t>
  </si>
  <si>
    <t>Fin_Reparacion_CL4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</si>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</sst>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11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64" fontId="0" fillId="0" borderId="1" xfId="0" applyNumberFormat="1" applyBorder="1"/>
    <xf numFmtId="164" fontId="2" fillId="0" borderId="1" xfId="0" applyNumberFormat="1" applyFont="1" applyBorder="1"/>
    <xf numFmtId="164" fontId="0" fillId="0" borderId="1" xfId="0" applyNumberFormat="1" applyBorder="1" applyAlignment="1">
      <alignment horizontal="center" vertical="center"/>
    </xf>
    <xf numFmtId="0" fontId="0" fillId="13" borderId="1" xfId="0" applyFill="1" applyBorder="1"/>
    <xf numFmtId="164" fontId="0" fillId="0" borderId="1" xfId="0" applyNumberFormat="1" applyBorder="1" applyAlignment="1">
      <alignment horizontal="center"/>
    </xf>
    <xf numFmtId="0" fontId="0" fillId="14" borderId="1" xfId="0" applyFill="1" applyBorder="1"/>
    <xf numFmtId="164" fontId="2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14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0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46" fontId="0" fillId="0" borderId="1" xfId="0" applyNumberFormat="1" applyBorder="1"/>
    <xf numFmtId="46" fontId="0" fillId="0" borderId="1" xfId="0" applyNumberFormat="1" applyBorder="1" applyAlignment="1">
      <alignment horizontal="center" vertical="center"/>
    </xf>
    <xf numFmtId="46" fontId="0" fillId="0" borderId="1" xfId="0" applyNumberFormat="1" applyBorder="1" applyAlignment="1">
      <alignment horizontal="center"/>
    </xf>
    <xf numFmtId="46" fontId="0" fillId="0" borderId="0" xfId="0" applyNumberFormat="1"/>
    <xf numFmtId="46" fontId="2" fillId="0" borderId="1" xfId="0" applyNumberFormat="1" applyFont="1" applyBorder="1"/>
    <xf numFmtId="46" fontId="0" fillId="0" borderId="1" xfId="0" applyNumberFormat="1" applyBorder="1" applyAlignment="1">
      <alignment horizontal="right"/>
    </xf>
    <xf numFmtId="46" fontId="3" fillId="0" borderId="1" xfId="0" applyNumberFormat="1" applyFont="1" applyBorder="1"/>
    <xf numFmtId="0" fontId="0" fillId="12" borderId="1" xfId="0" applyFill="1" applyBorder="1"/>
    <xf numFmtId="0" fontId="0" fillId="0" borderId="1" xfId="0" applyFill="1" applyBorder="1"/>
    <xf numFmtId="164" fontId="0" fillId="0" borderId="0" xfId="0" applyNumberFormat="1"/>
    <xf numFmtId="164" fontId="0" fillId="2" borderId="0" xfId="0" applyNumberFormat="1" applyFill="1"/>
    <xf numFmtId="164" fontId="0" fillId="0" borderId="1" xfId="0" applyNumberFormat="1" applyFill="1" applyBorder="1"/>
    <xf numFmtId="0" fontId="0" fillId="0" borderId="3" xfId="0" applyFill="1" applyBorder="1"/>
    <xf numFmtId="0" fontId="0" fillId="2" borderId="0" xfId="0" applyFill="1"/>
    <xf numFmtId="0" fontId="0" fillId="14" borderId="0" xfId="0" applyFill="1"/>
    <xf numFmtId="46" fontId="0" fillId="2" borderId="0" xfId="0" applyNumberFormat="1" applyFill="1"/>
    <xf numFmtId="0" fontId="0" fillId="9" borderId="2" xfId="0" applyFill="1" applyBorder="1" applyAlignment="1">
      <alignment horizontal="center" vertical="center" wrapText="1"/>
    </xf>
    <xf numFmtId="46" fontId="0" fillId="0" borderId="2" xfId="0" applyNumberFormat="1" applyBorder="1"/>
    <xf numFmtId="164" fontId="4" fillId="0" borderId="1" xfId="0" applyNumberFormat="1" applyFont="1" applyBorder="1"/>
    <xf numFmtId="0" fontId="2" fillId="13" borderId="1" xfId="0" applyFont="1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H182"/>
  <sheetViews>
    <sheetView tabSelected="1" topLeftCell="AT9" zoomScale="55" zoomScaleNormal="85" workbookViewId="0">
      <selection activeCell="M40" sqref="M40"/>
    </sheetView>
  </sheetViews>
  <sheetFormatPr defaultColWidth="9.1796875" defaultRowHeight="14.5" x14ac:dyDescent="0.35"/>
  <cols>
    <col min="2" max="2" width="17" customWidth="1"/>
    <col min="3" max="3" width="8.54296875" customWidth="1"/>
    <col min="4" max="4" width="13.54296875" customWidth="1"/>
    <col min="7" max="7" width="11" customWidth="1"/>
    <col min="9" max="9" width="9.26953125" bestFit="1" customWidth="1"/>
    <col min="10" max="10" width="17.453125" customWidth="1"/>
    <col min="11" max="11" width="19.453125" customWidth="1"/>
    <col min="12" max="12" width="9.26953125" bestFit="1" customWidth="1"/>
    <col min="13" max="13" width="13.90625" bestFit="1" customWidth="1"/>
    <col min="14" max="15" width="17.54296875" customWidth="1"/>
    <col min="16" max="16" width="9.26953125" bestFit="1" customWidth="1"/>
    <col min="17" max="17" width="12.54296875" customWidth="1"/>
    <col min="18" max="18" width="16.81640625" customWidth="1"/>
    <col min="19" max="20" width="12.453125" customWidth="1"/>
    <col min="21" max="21" width="12.54296875" customWidth="1"/>
    <col min="23" max="23" width="11.26953125" customWidth="1"/>
    <col min="25" max="25" width="9.81640625" customWidth="1"/>
    <col min="26" max="26" width="11.54296875" customWidth="1"/>
    <col min="27" max="27" width="12.7265625" customWidth="1"/>
    <col min="28" max="28" width="10.81640625" customWidth="1"/>
    <col min="29" max="29" width="10.26953125" customWidth="1"/>
    <col min="32" max="32" width="15.26953125" customWidth="1"/>
    <col min="33" max="33" width="16.26953125" customWidth="1"/>
    <col min="34" max="38" width="12" customWidth="1"/>
    <col min="40" max="40" width="1.1796875" customWidth="1"/>
    <col min="41" max="43" width="15.54296875" customWidth="1"/>
    <col min="44" max="44" width="11.7265625" customWidth="1"/>
    <col min="46" max="46" width="12.36328125" bestFit="1" customWidth="1"/>
    <col min="47" max="47" width="12.453125" customWidth="1"/>
    <col min="48" max="48" width="12.26953125" customWidth="1"/>
    <col min="50" max="50" width="11.1796875" customWidth="1"/>
    <col min="51" max="51" width="12.26953125" customWidth="1"/>
    <col min="52" max="52" width="11.453125" customWidth="1"/>
    <col min="54" max="54" width="13.453125" customWidth="1"/>
    <col min="55" max="55" width="11.7265625" customWidth="1"/>
    <col min="56" max="56" width="12" customWidth="1"/>
    <col min="58" max="58" width="11.08984375" bestFit="1" customWidth="1"/>
  </cols>
  <sheetData>
    <row r="2" spans="2:60" ht="15" customHeight="1" x14ac:dyDescent="0.35">
      <c r="B2" s="2" t="s">
        <v>3</v>
      </c>
      <c r="C2" s="2"/>
      <c r="E2" s="33" t="s">
        <v>32</v>
      </c>
      <c r="F2" s="33"/>
      <c r="G2" s="33"/>
      <c r="H2" s="33"/>
      <c r="J2" s="2" t="s">
        <v>33</v>
      </c>
      <c r="K2" s="36" t="s">
        <v>34</v>
      </c>
      <c r="L2" s="36"/>
      <c r="M2" s="36"/>
      <c r="N2" s="36"/>
      <c r="O2" s="36"/>
      <c r="Q2" s="39" t="s">
        <v>72</v>
      </c>
      <c r="R2" s="39"/>
      <c r="S2" s="39"/>
      <c r="T2" s="39"/>
    </row>
    <row r="3" spans="2:60" x14ac:dyDescent="0.35">
      <c r="B3" s="2" t="s">
        <v>4</v>
      </c>
      <c r="C3" s="2">
        <v>45</v>
      </c>
      <c r="J3" s="2"/>
      <c r="K3" s="2"/>
      <c r="L3" s="2"/>
      <c r="M3" s="2"/>
      <c r="N3" s="2"/>
      <c r="O3" s="2"/>
      <c r="Q3" s="26" t="s">
        <v>71</v>
      </c>
      <c r="R3" s="26"/>
      <c r="S3" s="26" t="s">
        <v>77</v>
      </c>
      <c r="T3" s="26"/>
    </row>
    <row r="4" spans="2:60" x14ac:dyDescent="0.35">
      <c r="B4" s="26" t="s">
        <v>27</v>
      </c>
      <c r="C4" s="26"/>
      <c r="E4" s="26" t="s">
        <v>0</v>
      </c>
      <c r="F4" s="26"/>
      <c r="G4" s="2">
        <v>10</v>
      </c>
      <c r="H4" s="2" t="s">
        <v>2</v>
      </c>
      <c r="J4" s="2"/>
      <c r="K4" s="3" t="s">
        <v>35</v>
      </c>
      <c r="L4" s="2"/>
      <c r="M4" s="3" t="s">
        <v>36</v>
      </c>
      <c r="N4" s="2"/>
      <c r="O4" s="3" t="s">
        <v>67</v>
      </c>
      <c r="Q4" s="26" t="s">
        <v>73</v>
      </c>
      <c r="R4" s="26"/>
      <c r="S4" s="26" t="s">
        <v>75</v>
      </c>
      <c r="T4" s="26"/>
    </row>
    <row r="5" spans="2:60" x14ac:dyDescent="0.35">
      <c r="E5" s="26" t="s">
        <v>1</v>
      </c>
      <c r="F5" s="26"/>
      <c r="G5" s="2">
        <v>18</v>
      </c>
      <c r="H5" s="2" t="s">
        <v>2</v>
      </c>
      <c r="J5" s="4" t="s">
        <v>58</v>
      </c>
      <c r="K5" s="2" t="s">
        <v>63</v>
      </c>
      <c r="L5" s="2"/>
      <c r="M5" s="2" t="s">
        <v>64</v>
      </c>
      <c r="N5" s="2"/>
      <c r="O5" s="2" t="s">
        <v>63</v>
      </c>
    </row>
    <row r="6" spans="2:60" ht="58" x14ac:dyDescent="0.35">
      <c r="J6" s="5" t="s">
        <v>65</v>
      </c>
      <c r="K6" s="5" t="s">
        <v>85</v>
      </c>
      <c r="L6" s="2"/>
      <c r="M6" s="5" t="s">
        <v>66</v>
      </c>
      <c r="N6" s="2"/>
      <c r="O6" s="5" t="s">
        <v>86</v>
      </c>
    </row>
    <row r="7" spans="2:60" x14ac:dyDescent="0.35">
      <c r="B7" s="1" t="s">
        <v>5</v>
      </c>
      <c r="C7" s="1" t="s">
        <v>8</v>
      </c>
      <c r="D7" s="1" t="s">
        <v>11</v>
      </c>
      <c r="E7" s="26" t="s">
        <v>15</v>
      </c>
      <c r="F7" s="26"/>
      <c r="G7" s="26" t="s">
        <v>31</v>
      </c>
      <c r="H7" s="26"/>
    </row>
    <row r="8" spans="2:60" x14ac:dyDescent="0.35">
      <c r="B8" s="26" t="s">
        <v>6</v>
      </c>
      <c r="C8" s="26" t="s">
        <v>9</v>
      </c>
      <c r="D8" s="26" t="s">
        <v>12</v>
      </c>
      <c r="E8" s="2" t="s">
        <v>13</v>
      </c>
      <c r="F8" s="2">
        <v>10</v>
      </c>
      <c r="G8" s="27" t="s">
        <v>28</v>
      </c>
      <c r="H8" s="27"/>
    </row>
    <row r="9" spans="2:60" x14ac:dyDescent="0.35">
      <c r="B9" s="26"/>
      <c r="C9" s="26"/>
      <c r="D9" s="26"/>
      <c r="E9" s="2" t="s">
        <v>14</v>
      </c>
      <c r="F9" s="2">
        <v>20</v>
      </c>
      <c r="G9" s="27"/>
      <c r="H9" s="27"/>
      <c r="J9" s="35" t="s">
        <v>37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</row>
    <row r="10" spans="2:60" x14ac:dyDescent="0.35">
      <c r="B10" s="1" t="s">
        <v>7</v>
      </c>
      <c r="C10" s="1" t="s">
        <v>10</v>
      </c>
      <c r="D10" s="1" t="s">
        <v>16</v>
      </c>
      <c r="E10" s="2" t="s">
        <v>4</v>
      </c>
      <c r="F10" s="2">
        <v>90</v>
      </c>
      <c r="G10" s="26" t="s">
        <v>29</v>
      </c>
      <c r="H10" s="26"/>
      <c r="AD10" s="28" t="s">
        <v>62</v>
      </c>
      <c r="AE10" s="28"/>
      <c r="AF10" s="28"/>
      <c r="AG10" s="28"/>
      <c r="AH10" s="28"/>
      <c r="AI10" s="28"/>
      <c r="AJ10" s="28"/>
      <c r="AK10" s="28"/>
      <c r="AL10" s="28"/>
      <c r="AM10" s="28"/>
      <c r="AN10" s="2"/>
      <c r="AO10" s="34" t="s">
        <v>79</v>
      </c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pans="2:60" x14ac:dyDescent="0.35">
      <c r="I11" s="27" t="s">
        <v>83</v>
      </c>
      <c r="J11" s="8"/>
      <c r="K11" s="9"/>
      <c r="L11" s="37" t="s">
        <v>71</v>
      </c>
      <c r="M11" s="37"/>
      <c r="N11" s="37"/>
      <c r="O11" s="29" t="s">
        <v>76</v>
      </c>
      <c r="P11" s="29"/>
      <c r="Q11" s="29"/>
      <c r="R11" s="29"/>
      <c r="S11" s="29"/>
      <c r="T11" s="29"/>
      <c r="U11" s="29"/>
      <c r="V11" s="29"/>
      <c r="W11" s="38" t="s">
        <v>77</v>
      </c>
      <c r="X11" s="38"/>
      <c r="Y11" s="31" t="s">
        <v>68</v>
      </c>
      <c r="Z11" s="31"/>
      <c r="AA11" s="30" t="s">
        <v>46</v>
      </c>
      <c r="AB11" s="30"/>
      <c r="AC11" s="30"/>
      <c r="AD11" s="2">
        <v>1</v>
      </c>
      <c r="AE11" s="2">
        <v>2</v>
      </c>
      <c r="AF11" s="1">
        <v>3</v>
      </c>
      <c r="AG11" s="1">
        <v>4</v>
      </c>
      <c r="AH11" s="1">
        <v>5</v>
      </c>
      <c r="AI11" s="1">
        <v>6</v>
      </c>
      <c r="AJ11" s="1">
        <v>7</v>
      </c>
      <c r="AK11" s="1">
        <v>8</v>
      </c>
      <c r="AL11" s="1">
        <v>9</v>
      </c>
      <c r="AM11" s="1" t="s">
        <v>78</v>
      </c>
      <c r="AN11" s="2"/>
      <c r="AO11" s="26">
        <v>1</v>
      </c>
      <c r="AP11" s="26"/>
      <c r="AQ11" s="26"/>
      <c r="AR11" s="26"/>
      <c r="AS11" s="26">
        <v>2</v>
      </c>
      <c r="AT11" s="26"/>
      <c r="AU11" s="26"/>
      <c r="AV11" s="26"/>
      <c r="AW11" s="26">
        <v>3</v>
      </c>
      <c r="AX11" s="26"/>
      <c r="AY11" s="26"/>
      <c r="AZ11" s="26"/>
      <c r="BA11" s="26" t="s">
        <v>78</v>
      </c>
      <c r="BB11" s="26"/>
      <c r="BC11" s="26"/>
      <c r="BD11" s="26"/>
      <c r="BE11" s="26" t="s">
        <v>78</v>
      </c>
      <c r="BF11" s="26"/>
      <c r="BG11" s="26"/>
      <c r="BH11" s="26"/>
    </row>
    <row r="12" spans="2:60" ht="43.5" x14ac:dyDescent="0.35">
      <c r="I12" s="27"/>
      <c r="J12" s="10" t="s">
        <v>39</v>
      </c>
      <c r="K12" s="11" t="s">
        <v>38</v>
      </c>
      <c r="L12" s="12" t="s">
        <v>50</v>
      </c>
      <c r="M12" s="12" t="s">
        <v>52</v>
      </c>
      <c r="N12" s="13" t="s">
        <v>40</v>
      </c>
      <c r="O12" s="14" t="s">
        <v>41</v>
      </c>
      <c r="P12" s="14" t="s">
        <v>42</v>
      </c>
      <c r="Q12" s="14" t="s">
        <v>43</v>
      </c>
      <c r="R12" s="13" t="s">
        <v>59</v>
      </c>
      <c r="S12" s="14" t="s">
        <v>44</v>
      </c>
      <c r="T12" s="14" t="s">
        <v>45</v>
      </c>
      <c r="U12" s="14" t="s">
        <v>57</v>
      </c>
      <c r="V12" s="14" t="s">
        <v>56</v>
      </c>
      <c r="W12" s="15" t="s">
        <v>51</v>
      </c>
      <c r="X12" s="15" t="s">
        <v>58</v>
      </c>
      <c r="Y12" s="16" t="s">
        <v>70</v>
      </c>
      <c r="Z12" s="16" t="s">
        <v>69</v>
      </c>
      <c r="AA12" s="56" t="s">
        <v>47</v>
      </c>
      <c r="AB12" s="17" t="s">
        <v>48</v>
      </c>
      <c r="AC12" s="17" t="s">
        <v>49</v>
      </c>
      <c r="AD12" s="7" t="s">
        <v>41</v>
      </c>
      <c r="AE12" s="7" t="s">
        <v>41</v>
      </c>
      <c r="AF12" s="7" t="s">
        <v>41</v>
      </c>
      <c r="AG12" s="7" t="s">
        <v>41</v>
      </c>
      <c r="AH12" s="7" t="s">
        <v>41</v>
      </c>
      <c r="AI12" s="7"/>
      <c r="AJ12" s="7"/>
      <c r="AK12" s="7"/>
      <c r="AL12" s="7"/>
      <c r="AM12" s="7" t="s">
        <v>41</v>
      </c>
      <c r="AN12" s="1"/>
      <c r="AO12" s="7" t="s">
        <v>41</v>
      </c>
      <c r="AP12" s="6" t="s">
        <v>82</v>
      </c>
      <c r="AQ12" s="6" t="s">
        <v>81</v>
      </c>
      <c r="AR12" s="6" t="s">
        <v>80</v>
      </c>
      <c r="AS12" s="7" t="s">
        <v>41</v>
      </c>
      <c r="AT12" s="6" t="s">
        <v>82</v>
      </c>
      <c r="AU12" s="6" t="s">
        <v>81</v>
      </c>
      <c r="AV12" s="6" t="s">
        <v>80</v>
      </c>
      <c r="AW12" s="7" t="s">
        <v>41</v>
      </c>
      <c r="AX12" s="6" t="s">
        <v>82</v>
      </c>
      <c r="AY12" s="6" t="s">
        <v>81</v>
      </c>
      <c r="AZ12" s="6" t="s">
        <v>80</v>
      </c>
      <c r="BA12" s="7" t="s">
        <v>41</v>
      </c>
      <c r="BB12" s="6" t="s">
        <v>82</v>
      </c>
      <c r="BC12" s="6" t="s">
        <v>81</v>
      </c>
      <c r="BD12" s="6" t="s">
        <v>80</v>
      </c>
      <c r="BE12" s="7" t="s">
        <v>41</v>
      </c>
      <c r="BF12" s="6" t="s">
        <v>82</v>
      </c>
      <c r="BG12" s="6" t="s">
        <v>81</v>
      </c>
      <c r="BH12" s="6" t="s">
        <v>80</v>
      </c>
    </row>
    <row r="13" spans="2:60" x14ac:dyDescent="0.35">
      <c r="I13" s="2">
        <v>1</v>
      </c>
      <c r="J13" s="18">
        <v>0.41666666666666669</v>
      </c>
      <c r="K13" s="2" t="s">
        <v>74</v>
      </c>
      <c r="L13" s="2">
        <v>0.33300000000000002</v>
      </c>
      <c r="M13" s="40">
        <f>-$C$3*(LN(1-L13)) / 1440</f>
        <v>1.265516353332854E-2</v>
      </c>
      <c r="N13" s="19">
        <f>J13+M13</f>
        <v>0.4293218301999952</v>
      </c>
      <c r="O13" s="2" t="s">
        <v>53</v>
      </c>
      <c r="P13" s="2"/>
      <c r="Q13" s="40"/>
      <c r="R13" s="2"/>
      <c r="S13" s="2"/>
      <c r="T13" s="2"/>
      <c r="U13" s="2"/>
      <c r="V13" s="2"/>
      <c r="W13" s="2"/>
      <c r="X13" s="40"/>
      <c r="Y13" s="2">
        <v>0</v>
      </c>
      <c r="Z13" s="2">
        <v>0</v>
      </c>
      <c r="AA13" s="57">
        <v>0</v>
      </c>
      <c r="AB13" s="40">
        <v>0</v>
      </c>
      <c r="AC13" s="2">
        <v>0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2:60" x14ac:dyDescent="0.35">
      <c r="B14" s="26" t="s">
        <v>17</v>
      </c>
      <c r="C14" s="26"/>
      <c r="D14" s="26"/>
      <c r="E14" s="26"/>
      <c r="F14" s="26"/>
      <c r="I14" s="2">
        <f>I13+1</f>
        <v>2</v>
      </c>
      <c r="J14" s="18">
        <v>0.42931712962962965</v>
      </c>
      <c r="K14" s="2" t="s">
        <v>91</v>
      </c>
      <c r="L14" s="2">
        <v>0.55800000000000005</v>
      </c>
      <c r="M14" s="40">
        <f>-$C$3*(LN(1-L14)) / 1440</f>
        <v>2.5513918653263721E-2</v>
      </c>
      <c r="N14" s="18">
        <f>J14+M14</f>
        <v>0.45483104828289339</v>
      </c>
      <c r="O14" s="2" t="s">
        <v>61</v>
      </c>
      <c r="P14" s="2">
        <v>5.5E-2</v>
      </c>
      <c r="Q14" s="40">
        <f>($F$8+P14*($F$9-$F$8)) / 1440</f>
        <v>7.3263888888888892E-3</v>
      </c>
      <c r="R14" s="19">
        <f>J14+Q14</f>
        <v>0.43664351851851851</v>
      </c>
      <c r="S14" s="2"/>
      <c r="T14" s="2"/>
      <c r="U14" s="2"/>
      <c r="V14" s="2"/>
      <c r="W14" s="2"/>
      <c r="X14" s="40"/>
      <c r="Y14" s="2">
        <v>0</v>
      </c>
      <c r="Z14" s="2">
        <v>0</v>
      </c>
      <c r="AA14" s="57">
        <v>0</v>
      </c>
      <c r="AB14" s="40">
        <v>0</v>
      </c>
      <c r="AC14" s="2">
        <v>0</v>
      </c>
      <c r="AD14" s="2" t="s">
        <v>84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2:60" x14ac:dyDescent="0.35">
      <c r="B15" s="2" t="s">
        <v>24</v>
      </c>
      <c r="C15" s="1" t="s">
        <v>18</v>
      </c>
      <c r="D15" s="1" t="s">
        <v>21</v>
      </c>
      <c r="E15" s="1" t="s">
        <v>22</v>
      </c>
      <c r="F15" s="1" t="s">
        <v>23</v>
      </c>
      <c r="I15" s="2">
        <f t="shared" ref="I15:I52" si="0">I14+1</f>
        <v>3</v>
      </c>
      <c r="J15" s="18">
        <f>R14</f>
        <v>0.43664351851851851</v>
      </c>
      <c r="K15" s="47" t="s">
        <v>92</v>
      </c>
      <c r="L15" s="7"/>
      <c r="M15" s="41"/>
      <c r="N15" s="18">
        <f>N14</f>
        <v>0.45483104828289339</v>
      </c>
      <c r="O15" s="18" t="s">
        <v>60</v>
      </c>
      <c r="P15" s="20"/>
      <c r="Q15" s="41"/>
      <c r="R15" s="20"/>
      <c r="S15" s="2">
        <v>0.35499999999999998</v>
      </c>
      <c r="T15" s="2" t="s">
        <v>54</v>
      </c>
      <c r="U15" s="1"/>
      <c r="V15" s="2" t="s">
        <v>55</v>
      </c>
      <c r="W15" s="2">
        <v>0.187</v>
      </c>
      <c r="X15" s="44">
        <f>-90*LN(1-W15) / 1440</f>
        <v>1.2939010589645406E-2</v>
      </c>
      <c r="Y15" s="2">
        <v>0</v>
      </c>
      <c r="Z15" s="2">
        <v>0</v>
      </c>
      <c r="AA15" s="57">
        <f>Q14</f>
        <v>7.3263888888888892E-3</v>
      </c>
      <c r="AB15" s="40">
        <v>0</v>
      </c>
      <c r="AC15" s="2">
        <v>0</v>
      </c>
      <c r="AD15" s="21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90</v>
      </c>
      <c r="AP15" s="18">
        <f>J15</f>
        <v>0.43664351851851851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2:60" x14ac:dyDescent="0.35">
      <c r="B16" s="2" t="s">
        <v>19</v>
      </c>
      <c r="C16" s="2">
        <v>0.3</v>
      </c>
      <c r="D16" s="2">
        <v>0.3</v>
      </c>
      <c r="E16" s="2">
        <v>0</v>
      </c>
      <c r="F16" s="2">
        <v>0.29899999999999999</v>
      </c>
      <c r="I16" s="2">
        <f t="shared" si="0"/>
        <v>4</v>
      </c>
      <c r="J16" s="18">
        <f>J15+X15</f>
        <v>0.44958252910816393</v>
      </c>
      <c r="K16" s="2" t="s">
        <v>93</v>
      </c>
      <c r="L16" s="1"/>
      <c r="M16" s="42"/>
      <c r="N16" s="19">
        <f>N15</f>
        <v>0.45483104828289339</v>
      </c>
      <c r="O16" s="18" t="s">
        <v>53</v>
      </c>
      <c r="P16" s="22"/>
      <c r="Q16" s="42"/>
      <c r="R16" s="22"/>
      <c r="S16" s="22"/>
      <c r="T16" s="22"/>
      <c r="U16" s="22"/>
      <c r="V16" s="22"/>
      <c r="W16" s="22"/>
      <c r="X16" s="40"/>
      <c r="Y16" s="2">
        <v>0</v>
      </c>
      <c r="Z16" s="2">
        <v>0</v>
      </c>
      <c r="AA16" s="57">
        <f>AA15</f>
        <v>7.3263888888888892E-3</v>
      </c>
      <c r="AB16" s="40">
        <f>AB15+X15</f>
        <v>1.2939010589645406E-2</v>
      </c>
      <c r="AC16" s="2">
        <v>0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3"/>
      <c r="AP16" s="18">
        <f>AP15</f>
        <v>0.43664351851851851</v>
      </c>
      <c r="AQ16" s="18">
        <f>J16</f>
        <v>0.44958252910816393</v>
      </c>
      <c r="AR16" s="18">
        <f>AQ16-AP16</f>
        <v>1.2939010589645417E-2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2:60" x14ac:dyDescent="0.35">
      <c r="B17" s="2" t="s">
        <v>20</v>
      </c>
      <c r="C17" s="2">
        <v>0.7</v>
      </c>
      <c r="D17" s="2">
        <v>1</v>
      </c>
      <c r="E17" s="2">
        <v>0.3</v>
      </c>
      <c r="F17" s="2">
        <v>0.999</v>
      </c>
      <c r="I17" s="2">
        <f t="shared" si="0"/>
        <v>5</v>
      </c>
      <c r="J17" s="18">
        <f>N15</f>
        <v>0.45483104828289339</v>
      </c>
      <c r="K17" s="2" t="s">
        <v>94</v>
      </c>
      <c r="L17" s="2">
        <v>3.0000000000000001E-3</v>
      </c>
      <c r="M17" s="40">
        <f>-$C$3*LN(1-L17) / 1440</f>
        <v>9.3890906884335122E-5</v>
      </c>
      <c r="N17" s="19">
        <f>J17+M17</f>
        <v>0.45492493918977772</v>
      </c>
      <c r="O17" s="2" t="s">
        <v>61</v>
      </c>
      <c r="P17" s="2">
        <v>0.35799999999999998</v>
      </c>
      <c r="Q17" s="40">
        <f>($F$8+P17*($F$9-$F$8)) / 1440</f>
        <v>9.4305555555555549E-3</v>
      </c>
      <c r="R17" s="18">
        <f>J17+Q17</f>
        <v>0.46426160383844894</v>
      </c>
      <c r="S17" s="2"/>
      <c r="T17" s="2"/>
      <c r="U17" s="2"/>
      <c r="V17" s="2"/>
      <c r="W17" s="2"/>
      <c r="X17" s="40"/>
      <c r="Y17" s="2">
        <v>0</v>
      </c>
      <c r="Z17" s="2">
        <v>0</v>
      </c>
      <c r="AA17" s="57">
        <f>AA16+Q18</f>
        <v>1.6756944444444442E-2</v>
      </c>
      <c r="AB17" s="40">
        <f t="shared" ref="AB17:AB24" si="1">AB16</f>
        <v>1.2939010589645406E-2</v>
      </c>
      <c r="AC17" s="2">
        <v>0</v>
      </c>
      <c r="AD17" s="2"/>
      <c r="AE17" s="2" t="s">
        <v>84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3"/>
      <c r="AQ17" s="23"/>
      <c r="AR17" s="23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2:60" x14ac:dyDescent="0.35">
      <c r="I18" s="2">
        <f t="shared" si="0"/>
        <v>6</v>
      </c>
      <c r="J18" s="18">
        <f>N17</f>
        <v>0.45492493918977772</v>
      </c>
      <c r="K18" s="2" t="s">
        <v>95</v>
      </c>
      <c r="L18" s="2">
        <v>0.44</v>
      </c>
      <c r="M18" s="40">
        <f>-$C$3*LN(1-L18) / 1440</f>
        <v>1.8119327976654439E-2</v>
      </c>
      <c r="N18" s="18">
        <f>J18+M18</f>
        <v>0.47304426716643216</v>
      </c>
      <c r="O18" s="2" t="s">
        <v>61</v>
      </c>
      <c r="P18" s="1"/>
      <c r="Q18" s="40">
        <f>Q17</f>
        <v>9.4305555555555549E-3</v>
      </c>
      <c r="R18" s="19">
        <f>R17</f>
        <v>0.46426160383844894</v>
      </c>
      <c r="S18" s="1"/>
      <c r="T18" s="1"/>
      <c r="U18" s="1"/>
      <c r="V18" s="1"/>
      <c r="W18" s="2"/>
      <c r="X18" s="40"/>
      <c r="Y18" s="2">
        <v>1</v>
      </c>
      <c r="Z18" s="2">
        <v>0</v>
      </c>
      <c r="AA18" s="57">
        <f>AA17+(J18-J17)</f>
        <v>1.6850835351328773E-2</v>
      </c>
      <c r="AB18" s="40">
        <f t="shared" si="1"/>
        <v>1.2939010589645406E-2</v>
      </c>
      <c r="AC18" s="2">
        <v>0</v>
      </c>
      <c r="AD18" s="2"/>
      <c r="AE18" s="2" t="s">
        <v>84</v>
      </c>
      <c r="AF18" s="2" t="s">
        <v>87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spans="2:60" x14ac:dyDescent="0.35">
      <c r="B19" s="26" t="s">
        <v>25</v>
      </c>
      <c r="C19" s="26"/>
      <c r="D19" s="26"/>
      <c r="E19" s="26"/>
      <c r="F19" s="26"/>
      <c r="I19" s="2">
        <f t="shared" si="0"/>
        <v>7</v>
      </c>
      <c r="J19" s="18">
        <f>R17</f>
        <v>0.46426160383844894</v>
      </c>
      <c r="K19" s="47" t="s">
        <v>96</v>
      </c>
      <c r="L19" s="1"/>
      <c r="M19" s="42"/>
      <c r="N19" s="24">
        <f>N18</f>
        <v>0.47304426716643216</v>
      </c>
      <c r="O19" s="18" t="s">
        <v>61</v>
      </c>
      <c r="P19" s="2">
        <v>0.61399999999999999</v>
      </c>
      <c r="Q19" s="40">
        <f>($F$8+P19*($F$9-$F$8)) / 1440</f>
        <v>1.1208333333333334E-2</v>
      </c>
      <c r="R19" s="18">
        <f>J19+Q19</f>
        <v>0.47546993717178226</v>
      </c>
      <c r="S19" s="2">
        <v>0.34499999999999997</v>
      </c>
      <c r="T19" s="2" t="s">
        <v>54</v>
      </c>
      <c r="U19" s="1"/>
      <c r="V19" s="2" t="s">
        <v>55</v>
      </c>
      <c r="W19" s="2"/>
      <c r="X19" s="40"/>
      <c r="Y19" s="2">
        <v>0</v>
      </c>
      <c r="Z19" s="2">
        <v>1</v>
      </c>
      <c r="AA19" s="57">
        <f>AA18+Q17</f>
        <v>2.6281390906884326E-2</v>
      </c>
      <c r="AB19" s="40">
        <f t="shared" si="1"/>
        <v>1.2939010589645406E-2</v>
      </c>
      <c r="AC19" s="2">
        <v>0</v>
      </c>
      <c r="AD19" s="2"/>
      <c r="AE19" s="21"/>
      <c r="AF19" s="2" t="s">
        <v>84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 t="s">
        <v>87</v>
      </c>
      <c r="AT19" s="18">
        <f>J19</f>
        <v>0.46426160383844894</v>
      </c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2:60" x14ac:dyDescent="0.35">
      <c r="B20" s="2" t="s">
        <v>24</v>
      </c>
      <c r="C20" s="1" t="s">
        <v>18</v>
      </c>
      <c r="D20" s="1" t="s">
        <v>21</v>
      </c>
      <c r="E20" s="1" t="s">
        <v>22</v>
      </c>
      <c r="F20" s="1" t="s">
        <v>23</v>
      </c>
      <c r="I20" s="2">
        <f t="shared" si="0"/>
        <v>8</v>
      </c>
      <c r="J20" s="18">
        <f>N19</f>
        <v>0.47304426716643216</v>
      </c>
      <c r="K20" s="2" t="s">
        <v>97</v>
      </c>
      <c r="L20" s="2">
        <v>0.22500000000000001</v>
      </c>
      <c r="M20" s="40">
        <f>-$C$3*LN(1-L20) / 1440</f>
        <v>7.9653828008996886E-3</v>
      </c>
      <c r="N20" s="18">
        <f>J20+M20</f>
        <v>0.48100964996733186</v>
      </c>
      <c r="O20" s="18" t="s">
        <v>61</v>
      </c>
      <c r="P20" s="2"/>
      <c r="Q20" s="40">
        <f>Q19</f>
        <v>1.1208333333333334E-2</v>
      </c>
      <c r="R20" s="19">
        <f>R19</f>
        <v>0.47546993717178226</v>
      </c>
      <c r="S20" s="2"/>
      <c r="T20" s="2"/>
      <c r="U20" s="2"/>
      <c r="V20" s="2"/>
      <c r="W20" s="1"/>
      <c r="X20" s="45"/>
      <c r="Y20" s="2">
        <v>1</v>
      </c>
      <c r="Z20" s="2">
        <v>1</v>
      </c>
      <c r="AA20" s="57">
        <f>AA19+Q18</f>
        <v>3.5711946462439879E-2</v>
      </c>
      <c r="AB20" s="40">
        <f t="shared" si="1"/>
        <v>1.2939010589645406E-2</v>
      </c>
      <c r="AC20" s="2">
        <v>0</v>
      </c>
      <c r="AD20" s="2"/>
      <c r="AE20" s="2"/>
      <c r="AF20" s="2" t="s">
        <v>84</v>
      </c>
      <c r="AG20" s="2" t="s">
        <v>87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 t="s">
        <v>87</v>
      </c>
      <c r="AT20" s="18">
        <f>AT19</f>
        <v>0.46426160383844894</v>
      </c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spans="2:60" x14ac:dyDescent="0.35">
      <c r="B21" s="2" t="s">
        <v>88</v>
      </c>
      <c r="C21" s="2">
        <v>0.5</v>
      </c>
      <c r="D21" s="2">
        <v>0.5</v>
      </c>
      <c r="E21" s="2">
        <v>0</v>
      </c>
      <c r="F21" s="2">
        <v>0.499</v>
      </c>
      <c r="G21" s="2" t="s">
        <v>30</v>
      </c>
      <c r="I21" s="2">
        <f t="shared" si="0"/>
        <v>9</v>
      </c>
      <c r="J21" s="18">
        <f>R20</f>
        <v>0.47546993717178226</v>
      </c>
      <c r="K21" s="47" t="s">
        <v>98</v>
      </c>
      <c r="L21" s="2"/>
      <c r="M21" s="40"/>
      <c r="N21" s="19">
        <f>N20</f>
        <v>0.48100964996733186</v>
      </c>
      <c r="O21" s="18" t="s">
        <v>61</v>
      </c>
      <c r="P21" s="2">
        <v>0.26900000000000002</v>
      </c>
      <c r="Q21" s="40">
        <f>($F$8+P21*($F$9-$F$8)) / 1440</f>
        <v>8.8125000000000009E-3</v>
      </c>
      <c r="R21" s="18">
        <f>Q21+J21</f>
        <v>0.48428243717178227</v>
      </c>
      <c r="S21" s="2">
        <v>0.35299999999999998</v>
      </c>
      <c r="T21" s="2" t="s">
        <v>54</v>
      </c>
      <c r="U21" s="2"/>
      <c r="V21" s="2" t="s">
        <v>55</v>
      </c>
      <c r="W21" s="2"/>
      <c r="X21" s="40"/>
      <c r="Y21" s="2">
        <v>0</v>
      </c>
      <c r="Z21" s="2">
        <v>2</v>
      </c>
      <c r="AA21" s="57">
        <f>AA20+(J21-J20)</f>
        <v>3.813761646778998E-2</v>
      </c>
      <c r="AB21" s="40">
        <f t="shared" si="1"/>
        <v>1.2939010589645406E-2</v>
      </c>
      <c r="AC21" s="2">
        <v>0</v>
      </c>
      <c r="AD21" s="2"/>
      <c r="AE21" s="2"/>
      <c r="AF21" s="21"/>
      <c r="AG21" s="2" t="s">
        <v>87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 t="s">
        <v>87</v>
      </c>
      <c r="AT21" s="18">
        <f t="shared" ref="AT21:AT22" si="2">AT20</f>
        <v>0.46426160383844894</v>
      </c>
      <c r="AU21" s="2"/>
      <c r="AV21" s="2"/>
      <c r="AW21" s="2" t="s">
        <v>87</v>
      </c>
      <c r="AX21" s="18">
        <f>J21</f>
        <v>0.47546993717178226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spans="2:60" x14ac:dyDescent="0.35">
      <c r="B22" s="2" t="s">
        <v>89</v>
      </c>
      <c r="C22" s="2">
        <v>0.5</v>
      </c>
      <c r="D22" s="2">
        <v>1</v>
      </c>
      <c r="E22" s="2">
        <v>0.5</v>
      </c>
      <c r="F22" s="2">
        <v>0.999</v>
      </c>
      <c r="I22" s="2">
        <f t="shared" si="0"/>
        <v>10</v>
      </c>
      <c r="J22" s="18">
        <f>N21</f>
        <v>0.48100964996733186</v>
      </c>
      <c r="K22" s="2" t="s">
        <v>99</v>
      </c>
      <c r="L22" s="2">
        <v>0.57099999999999995</v>
      </c>
      <c r="M22" s="40">
        <f>-$C$3*LN(1-L22) / 1440</f>
        <v>2.6446823751691249E-2</v>
      </c>
      <c r="N22" s="18">
        <f>J22+M22</f>
        <v>0.50745647371902314</v>
      </c>
      <c r="O22" s="18" t="s">
        <v>61</v>
      </c>
      <c r="P22" s="2"/>
      <c r="Q22" s="40">
        <f>Q21</f>
        <v>8.8125000000000009E-3</v>
      </c>
      <c r="R22" s="19">
        <f>R21</f>
        <v>0.48428243717178227</v>
      </c>
      <c r="S22" s="2"/>
      <c r="T22" s="2"/>
      <c r="U22" s="2"/>
      <c r="V22" s="2"/>
      <c r="W22" s="2"/>
      <c r="X22" s="40"/>
      <c r="Y22" s="2">
        <v>1</v>
      </c>
      <c r="Z22" s="2">
        <v>2</v>
      </c>
      <c r="AA22" s="57">
        <f>AA21++J22-J21</f>
        <v>4.3677329263339615E-2</v>
      </c>
      <c r="AB22" s="40">
        <f t="shared" si="1"/>
        <v>1.2939010589645406E-2</v>
      </c>
      <c r="AC22" s="2">
        <v>0</v>
      </c>
      <c r="AD22" s="2"/>
      <c r="AE22" s="2"/>
      <c r="AF22" s="2"/>
      <c r="AG22" s="2" t="s">
        <v>87</v>
      </c>
      <c r="AH22" s="2" t="s">
        <v>87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 t="s">
        <v>87</v>
      </c>
      <c r="AT22" s="18">
        <f t="shared" si="2"/>
        <v>0.46426160383844894</v>
      </c>
      <c r="AU22" s="2"/>
      <c r="AV22" s="2"/>
      <c r="AW22" s="2" t="s">
        <v>87</v>
      </c>
      <c r="AX22" s="18">
        <f>AX21</f>
        <v>0.47546993717178226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spans="2:60" x14ac:dyDescent="0.35">
      <c r="I23" s="2">
        <f t="shared" si="0"/>
        <v>11</v>
      </c>
      <c r="J23" s="18">
        <f>R22</f>
        <v>0.48428243717178227</v>
      </c>
      <c r="K23" s="47" t="s">
        <v>101</v>
      </c>
      <c r="L23" s="2"/>
      <c r="M23" s="40"/>
      <c r="N23" s="18">
        <f>N22</f>
        <v>0.50745647371902314</v>
      </c>
      <c r="O23" s="18" t="s">
        <v>61</v>
      </c>
      <c r="P23" s="2">
        <v>0.81699999999999995</v>
      </c>
      <c r="Q23" s="40">
        <f>($F$8+P23*($F$9-$F$8)) / 1440</f>
        <v>1.2618055555555556E-2</v>
      </c>
      <c r="R23" s="19">
        <f>Q23+J23</f>
        <v>0.49690049272733783</v>
      </c>
      <c r="S23" s="2">
        <v>0.125</v>
      </c>
      <c r="T23" s="2" t="s">
        <v>102</v>
      </c>
      <c r="U23" s="2">
        <v>0.34100000000000003</v>
      </c>
      <c r="V23" s="2" t="s">
        <v>103</v>
      </c>
      <c r="W23" s="2"/>
      <c r="X23" s="40"/>
      <c r="Y23" s="2">
        <v>0</v>
      </c>
      <c r="Z23" s="2">
        <v>2</v>
      </c>
      <c r="AA23" s="43" t="s">
        <v>100</v>
      </c>
      <c r="AB23" s="40">
        <f t="shared" si="1"/>
        <v>1.2939010589645406E-2</v>
      </c>
      <c r="AC23" s="52">
        <v>0</v>
      </c>
      <c r="AD23" s="2"/>
      <c r="AE23" s="2"/>
      <c r="AF23" s="2"/>
      <c r="AG23" s="21"/>
      <c r="AH23" s="2" t="s">
        <v>84</v>
      </c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 t="s">
        <v>87</v>
      </c>
      <c r="AT23" s="18">
        <f>AT22</f>
        <v>0.46426160383844894</v>
      </c>
      <c r="AU23" s="2"/>
      <c r="AV23" s="2"/>
      <c r="AW23" s="2" t="s">
        <v>87</v>
      </c>
      <c r="AX23" s="18">
        <f>AX22</f>
        <v>0.47546993717178226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spans="2:60" ht="15" customHeight="1" x14ac:dyDescent="0.35">
      <c r="B24" s="32" t="s">
        <v>26</v>
      </c>
      <c r="C24" s="32"/>
      <c r="D24" s="32"/>
      <c r="E24" s="32"/>
      <c r="F24" s="32"/>
      <c r="I24" s="2">
        <f t="shared" si="0"/>
        <v>12</v>
      </c>
      <c r="J24" s="18">
        <f>R23</f>
        <v>0.49690049272733783</v>
      </c>
      <c r="K24" s="47" t="s">
        <v>104</v>
      </c>
      <c r="L24" s="2"/>
      <c r="M24" s="40"/>
      <c r="N24" s="18">
        <f>N23</f>
        <v>0.50745647371902314</v>
      </c>
      <c r="O24" s="18" t="s">
        <v>60</v>
      </c>
      <c r="P24" s="2"/>
      <c r="Q24" s="40"/>
      <c r="R24" s="2"/>
      <c r="S24" s="2">
        <v>4.3999999999999997E-2</v>
      </c>
      <c r="T24" s="2" t="s">
        <v>102</v>
      </c>
      <c r="U24" s="2">
        <v>0.122</v>
      </c>
      <c r="V24" s="2" t="s">
        <v>103</v>
      </c>
      <c r="W24" s="2">
        <v>5.5E-2</v>
      </c>
      <c r="X24" s="44">
        <f>-90*LN(1-W24) / 1440</f>
        <v>3.5356469680246473E-3</v>
      </c>
      <c r="Y24" s="2">
        <v>0</v>
      </c>
      <c r="Z24" s="2">
        <v>1</v>
      </c>
      <c r="AA24" s="43"/>
      <c r="AB24" s="40">
        <f t="shared" si="1"/>
        <v>1.2939010589645406E-2</v>
      </c>
      <c r="AC24" s="52">
        <v>0</v>
      </c>
      <c r="AD24" s="2"/>
      <c r="AE24" s="2"/>
      <c r="AF24" s="2"/>
      <c r="AG24" s="2"/>
      <c r="AH24" s="2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 t="s">
        <v>90</v>
      </c>
      <c r="AT24" s="18">
        <f>AT23</f>
        <v>0.46426160383844894</v>
      </c>
      <c r="AU24" s="18">
        <v>0.50043981481481481</v>
      </c>
      <c r="AV24" s="18"/>
      <c r="AW24" s="2" t="s">
        <v>87</v>
      </c>
      <c r="AX24" s="18">
        <f t="shared" ref="AX24:AX28" si="3">AX23</f>
        <v>0.47546993717178226</v>
      </c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spans="2:60" x14ac:dyDescent="0.35">
      <c r="B25" s="32"/>
      <c r="C25" s="32"/>
      <c r="D25" s="32"/>
      <c r="E25" s="32"/>
      <c r="F25" s="32"/>
      <c r="I25" s="2">
        <f t="shared" si="0"/>
        <v>13</v>
      </c>
      <c r="J25" s="18">
        <f>J24+X24</f>
        <v>0.50043613969536249</v>
      </c>
      <c r="K25" s="2" t="s">
        <v>105</v>
      </c>
      <c r="L25" s="2"/>
      <c r="M25" s="40"/>
      <c r="N25" s="19">
        <f>N24</f>
        <v>0.50745647371902314</v>
      </c>
      <c r="O25" s="18" t="s">
        <v>60</v>
      </c>
      <c r="P25" s="2"/>
      <c r="Q25" s="40"/>
      <c r="R25" s="2"/>
      <c r="S25" s="2"/>
      <c r="T25" s="2"/>
      <c r="U25" s="2"/>
      <c r="V25" s="2"/>
      <c r="W25" s="2">
        <v>0.20899999999999999</v>
      </c>
      <c r="X25" s="46">
        <f>-90*LN(1-W25) / 1440</f>
        <v>1.4653581950905195E-2</v>
      </c>
      <c r="Y25" s="2">
        <v>0</v>
      </c>
      <c r="Z25" s="2">
        <v>0</v>
      </c>
      <c r="AA25" s="43"/>
      <c r="AB25" s="43">
        <f>AB24+X24</f>
        <v>1.6474657557670053E-2</v>
      </c>
      <c r="AC25" s="52">
        <v>0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3"/>
      <c r="AT25" s="18">
        <f>AT24</f>
        <v>0.46426160383844894</v>
      </c>
      <c r="AU25" s="18">
        <f>AU24</f>
        <v>0.50043981481481481</v>
      </c>
      <c r="AV25" s="18">
        <v>3.5300925925925925E-3</v>
      </c>
      <c r="AW25" s="2" t="s">
        <v>90</v>
      </c>
      <c r="AX25" s="18">
        <f t="shared" si="3"/>
        <v>0.47546993717178226</v>
      </c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spans="2:60" x14ac:dyDescent="0.35">
      <c r="I26" s="2">
        <f t="shared" si="0"/>
        <v>14</v>
      </c>
      <c r="J26" s="18">
        <v>0.50745370370370368</v>
      </c>
      <c r="K26" s="2" t="s">
        <v>106</v>
      </c>
      <c r="L26" s="2">
        <v>0.9</v>
      </c>
      <c r="M26" s="40">
        <f>-$C$3*LN(1-L26) / 1440</f>
        <v>7.1955784156063934E-2</v>
      </c>
      <c r="N26" s="18">
        <f>M26++J26</f>
        <v>0.57940948785976765</v>
      </c>
      <c r="O26" s="18" t="s">
        <v>61</v>
      </c>
      <c r="P26" s="2">
        <v>0.89300000000000002</v>
      </c>
      <c r="Q26" s="40">
        <f>($F$8+P26*($F$9-$F$8)) / 1440</f>
        <v>1.3145833333333332E-2</v>
      </c>
      <c r="R26" s="19">
        <f>Q26+J26</f>
        <v>0.52059953703703699</v>
      </c>
      <c r="S26" s="2"/>
      <c r="T26" s="2"/>
      <c r="U26" s="2"/>
      <c r="V26" s="2"/>
      <c r="W26" s="2"/>
      <c r="X26" s="46">
        <f>AZ26</f>
        <v>7.6332479272445495E-3</v>
      </c>
      <c r="Y26" s="2">
        <v>0</v>
      </c>
      <c r="Z26" s="2">
        <v>1</v>
      </c>
      <c r="AA26" s="43"/>
      <c r="AB26" s="43">
        <f>AB25</f>
        <v>1.6474657557670053E-2</v>
      </c>
      <c r="AC26" s="52">
        <v>0</v>
      </c>
      <c r="AD26" s="2"/>
      <c r="AE26" s="2"/>
      <c r="AF26" s="2"/>
      <c r="AG26" s="2"/>
      <c r="AH26" s="2"/>
      <c r="AI26" s="2" t="s">
        <v>84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3"/>
      <c r="AU26" s="23"/>
      <c r="AV26" s="23"/>
      <c r="AW26" s="2" t="s">
        <v>87</v>
      </c>
      <c r="AX26" s="18">
        <f t="shared" si="3"/>
        <v>0.47546993717178226</v>
      </c>
      <c r="AY26" s="2"/>
      <c r="AZ26" s="18">
        <f>X25-(N25-J25)</f>
        <v>7.6332479272445495E-3</v>
      </c>
      <c r="BA26" s="2"/>
      <c r="BB26" s="2"/>
      <c r="BC26" s="2"/>
      <c r="BD26" s="2"/>
      <c r="BE26" s="2"/>
      <c r="BF26" s="2"/>
      <c r="BG26" s="2"/>
      <c r="BH26" s="2"/>
    </row>
    <row r="27" spans="2:60" x14ac:dyDescent="0.35">
      <c r="I27" s="2">
        <f t="shared" si="0"/>
        <v>15</v>
      </c>
      <c r="J27" s="18">
        <f>R26</f>
        <v>0.52059953703703699</v>
      </c>
      <c r="K27" s="47" t="s">
        <v>107</v>
      </c>
      <c r="L27" s="2"/>
      <c r="M27" s="40"/>
      <c r="N27" s="18">
        <f>N26</f>
        <v>0.57940948785976765</v>
      </c>
      <c r="O27" s="18" t="s">
        <v>60</v>
      </c>
      <c r="P27" s="2"/>
      <c r="Q27" s="40"/>
      <c r="R27" s="2"/>
      <c r="S27" s="2">
        <v>0.89900000000000002</v>
      </c>
      <c r="T27" s="2" t="s">
        <v>54</v>
      </c>
      <c r="U27" s="2"/>
      <c r="V27" s="2" t="s">
        <v>55</v>
      </c>
      <c r="W27" s="2"/>
      <c r="X27" s="44">
        <f>X26</f>
        <v>7.6332479272445495E-3</v>
      </c>
      <c r="Y27" s="2">
        <v>0</v>
      </c>
      <c r="Z27" s="2">
        <v>0</v>
      </c>
      <c r="AA27" s="43"/>
      <c r="AB27" s="43">
        <f>AB26</f>
        <v>1.6474657557670053E-2</v>
      </c>
      <c r="AC27" s="52">
        <v>0</v>
      </c>
      <c r="AD27" s="2"/>
      <c r="AE27" s="2"/>
      <c r="AF27" s="2"/>
      <c r="AG27" s="2"/>
      <c r="AH27" s="2"/>
      <c r="AI27" s="21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 t="s">
        <v>90</v>
      </c>
      <c r="AX27" s="18">
        <f t="shared" si="3"/>
        <v>0.47546993717178226</v>
      </c>
      <c r="AY27" s="2"/>
      <c r="AZ27" s="18">
        <f>AZ26</f>
        <v>7.6332479272445495E-3</v>
      </c>
      <c r="BA27" s="2"/>
      <c r="BB27" s="2"/>
      <c r="BC27" s="2"/>
      <c r="BD27" s="2"/>
      <c r="BE27" s="2"/>
      <c r="BF27" s="2"/>
      <c r="BG27" s="2"/>
      <c r="BH27" s="2"/>
    </row>
    <row r="28" spans="2:60" x14ac:dyDescent="0.35">
      <c r="I28" s="2">
        <f t="shared" si="0"/>
        <v>16</v>
      </c>
      <c r="J28" s="18">
        <f>J27+X27</f>
        <v>0.5282327849642815</v>
      </c>
      <c r="K28" s="48" t="s">
        <v>108</v>
      </c>
      <c r="L28" s="2"/>
      <c r="M28" s="40"/>
      <c r="N28" s="19">
        <f>N27</f>
        <v>0.57940948785976765</v>
      </c>
      <c r="O28" s="18" t="s">
        <v>53</v>
      </c>
      <c r="P28" s="2"/>
      <c r="Q28" s="40"/>
      <c r="R28" s="2"/>
      <c r="S28" s="2"/>
      <c r="T28" s="2"/>
      <c r="U28" s="2"/>
      <c r="V28" s="2"/>
      <c r="W28" s="2"/>
      <c r="X28" s="40"/>
      <c r="Y28" s="2">
        <v>0</v>
      </c>
      <c r="Z28" s="2">
        <v>0</v>
      </c>
      <c r="AA28" s="43"/>
      <c r="AB28" s="43">
        <f>X25+AB27</f>
        <v>3.1128239508575246E-2</v>
      </c>
      <c r="AC28" s="52">
        <v>0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3"/>
      <c r="AX28" s="18">
        <f t="shared" si="3"/>
        <v>0.47546993717178226</v>
      </c>
      <c r="AY28" s="18">
        <v>0.52822916666666664</v>
      </c>
      <c r="AZ28" s="18">
        <f>AZ27</f>
        <v>7.6332479272445495E-3</v>
      </c>
      <c r="BA28" s="2"/>
      <c r="BB28" s="2"/>
      <c r="BC28" s="2"/>
      <c r="BD28" s="2"/>
      <c r="BE28" s="2"/>
      <c r="BF28" s="2"/>
      <c r="BG28" s="2"/>
      <c r="BH28" s="2"/>
    </row>
    <row r="29" spans="2:60" x14ac:dyDescent="0.35">
      <c r="I29" s="2">
        <f t="shared" si="0"/>
        <v>17</v>
      </c>
      <c r="J29" s="18">
        <f>N28</f>
        <v>0.57940948785976765</v>
      </c>
      <c r="K29" s="2" t="s">
        <v>109</v>
      </c>
      <c r="L29" s="2">
        <v>0.87</v>
      </c>
      <c r="M29" s="40">
        <f>-$C$3*LN(1-L29) / 1440</f>
        <v>6.3756900891454832E-2</v>
      </c>
      <c r="N29" s="18">
        <f>M29++J29</f>
        <v>0.64316638875122245</v>
      </c>
      <c r="O29" s="18" t="s">
        <v>61</v>
      </c>
      <c r="P29" s="2">
        <v>0.93</v>
      </c>
      <c r="Q29" s="40">
        <f>($F$8+P29*($F$9-$F$8)) / 1440</f>
        <v>1.3402777777777779E-2</v>
      </c>
      <c r="R29" s="19">
        <f>Q29+J29</f>
        <v>0.59281226563754541</v>
      </c>
      <c r="S29" s="2"/>
      <c r="T29" s="2"/>
      <c r="U29" s="2"/>
      <c r="V29" s="2"/>
      <c r="W29" s="2"/>
      <c r="X29" s="40"/>
      <c r="Y29" s="2">
        <v>0</v>
      </c>
      <c r="Z29" s="2">
        <v>0</v>
      </c>
      <c r="AA29" s="43"/>
      <c r="AB29" s="43">
        <f>AB28</f>
        <v>3.1128239508575246E-2</v>
      </c>
      <c r="AC29" s="52">
        <v>0</v>
      </c>
      <c r="AD29" s="2"/>
      <c r="AE29" s="2"/>
      <c r="AF29" s="2"/>
      <c r="AG29" s="2"/>
      <c r="AH29" s="2"/>
      <c r="AI29" s="2"/>
      <c r="AJ29" s="2" t="s">
        <v>84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3"/>
      <c r="AY29" s="23"/>
      <c r="AZ29" s="23"/>
      <c r="BA29" s="2"/>
      <c r="BB29" s="2"/>
      <c r="BC29" s="2"/>
      <c r="BD29" s="2"/>
      <c r="BE29" s="2"/>
      <c r="BF29" s="2"/>
      <c r="BG29" s="2"/>
      <c r="BH29" s="2"/>
    </row>
    <row r="30" spans="2:60" x14ac:dyDescent="0.35">
      <c r="I30" s="2">
        <f t="shared" si="0"/>
        <v>18</v>
      </c>
      <c r="J30" s="51">
        <f>R29</f>
        <v>0.59281226563754541</v>
      </c>
      <c r="K30" s="47" t="s">
        <v>110</v>
      </c>
      <c r="L30" s="2"/>
      <c r="M30" s="40"/>
      <c r="N30" s="19">
        <f>N29</f>
        <v>0.64316638875122245</v>
      </c>
      <c r="O30" s="2" t="s">
        <v>60</v>
      </c>
      <c r="P30" s="2"/>
      <c r="Q30" s="40"/>
      <c r="R30" s="18"/>
      <c r="S30" s="2">
        <v>0.23300000000000001</v>
      </c>
      <c r="T30" s="2" t="s">
        <v>102</v>
      </c>
      <c r="U30" s="2">
        <v>0.81200000000000006</v>
      </c>
      <c r="V30" s="2" t="s">
        <v>55</v>
      </c>
      <c r="W30" s="2">
        <f>0.882</f>
        <v>0.88200000000000001</v>
      </c>
      <c r="X30" s="40">
        <f>-90*LN(1-W30) / 1440</f>
        <v>0.13356691590727951</v>
      </c>
      <c r="Y30" s="2">
        <v>0</v>
      </c>
      <c r="Z30" s="2">
        <v>0</v>
      </c>
      <c r="AA30" s="43"/>
      <c r="AB30" s="43">
        <f t="shared" ref="AB30:AB36" si="4">AB29</f>
        <v>3.1128239508575246E-2</v>
      </c>
      <c r="AC30" s="52">
        <v>0</v>
      </c>
      <c r="AD30" s="2"/>
      <c r="AE30" s="2"/>
      <c r="AF30" s="2"/>
      <c r="AG30" s="2"/>
      <c r="AH30" s="2"/>
      <c r="AI30" s="2"/>
      <c r="AJ30" s="21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s">
        <v>90</v>
      </c>
      <c r="BB30" s="18">
        <f>J30</f>
        <v>0.59281226563754541</v>
      </c>
      <c r="BC30" s="2"/>
      <c r="BD30" s="2"/>
      <c r="BE30" s="2"/>
      <c r="BF30" s="2"/>
      <c r="BG30" s="2"/>
      <c r="BH30" s="2"/>
    </row>
    <row r="31" spans="2:60" x14ac:dyDescent="0.35">
      <c r="I31" s="2">
        <f t="shared" si="0"/>
        <v>19</v>
      </c>
      <c r="J31" s="51">
        <f>N30</f>
        <v>0.64316638875122245</v>
      </c>
      <c r="K31" s="2" t="s">
        <v>111</v>
      </c>
      <c r="L31" s="2">
        <v>0.21199999999999999</v>
      </c>
      <c r="M31" s="40">
        <f>-$C$3*LN(1-L31) / 1440</f>
        <v>7.4455371601330599E-3</v>
      </c>
      <c r="N31" s="19">
        <f>J31+M31</f>
        <v>0.65061192591135553</v>
      </c>
      <c r="O31" s="51" t="s">
        <v>61</v>
      </c>
      <c r="P31" s="2">
        <v>0.51200000000000001</v>
      </c>
      <c r="Q31" s="40">
        <f>($F$8+P31*($F$9-$F$8)) / 1440</f>
        <v>1.0500000000000001E-2</v>
      </c>
      <c r="R31" s="58">
        <f>Q31+J31</f>
        <v>0.6536663887512224</v>
      </c>
      <c r="S31" s="2"/>
      <c r="T31" s="2"/>
      <c r="U31" s="2"/>
      <c r="V31" s="2"/>
      <c r="W31" s="2"/>
      <c r="X31" s="40">
        <f>BD31</f>
        <v>8.3212792793602469E-2</v>
      </c>
      <c r="Y31" s="48">
        <v>0</v>
      </c>
      <c r="Z31" s="48">
        <v>0</v>
      </c>
      <c r="AA31" s="43"/>
      <c r="AB31" s="43">
        <f t="shared" si="4"/>
        <v>3.1128239508575246E-2</v>
      </c>
      <c r="AC31" s="52">
        <v>0</v>
      </c>
      <c r="AD31" s="2"/>
      <c r="AE31" s="2"/>
      <c r="AF31" s="2"/>
      <c r="AG31" s="2"/>
      <c r="AH31" s="2"/>
      <c r="AI31" s="2"/>
      <c r="AJ31" s="2"/>
      <c r="AK31" s="2" t="s">
        <v>84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s">
        <v>87</v>
      </c>
      <c r="BB31" s="18">
        <f>BB30</f>
        <v>0.59281226563754541</v>
      </c>
      <c r="BC31" s="2"/>
      <c r="BD31" s="40">
        <f>X30-(J31-BB30)</f>
        <v>8.3212792793602469E-2</v>
      </c>
      <c r="BE31" s="2"/>
      <c r="BF31" s="2"/>
      <c r="BG31" s="2"/>
      <c r="BH31" s="2"/>
    </row>
    <row r="32" spans="2:60" x14ac:dyDescent="0.35">
      <c r="I32" s="2">
        <f t="shared" si="0"/>
        <v>20</v>
      </c>
      <c r="J32" s="51">
        <f>N31</f>
        <v>0.65061192591135553</v>
      </c>
      <c r="K32" s="2" t="s">
        <v>113</v>
      </c>
      <c r="L32" s="2">
        <v>0.91200000000000003</v>
      </c>
      <c r="M32" s="40">
        <f>-$C$3*LN(1-L32) / 1440</f>
        <v>7.5950577015747839E-2</v>
      </c>
      <c r="N32" s="18">
        <f>M32+J32</f>
        <v>0.72656250292710334</v>
      </c>
      <c r="O32" s="51" t="s">
        <v>61</v>
      </c>
      <c r="P32" s="2"/>
      <c r="Q32" s="40"/>
      <c r="R32" s="19">
        <f>R31</f>
        <v>0.6536663887512224</v>
      </c>
      <c r="S32" s="25"/>
      <c r="T32" s="2"/>
      <c r="U32" s="2"/>
      <c r="V32" s="2"/>
      <c r="W32" s="2"/>
      <c r="X32" s="40">
        <f>X31</f>
        <v>8.3212792793602469E-2</v>
      </c>
      <c r="Y32" s="48">
        <v>1</v>
      </c>
      <c r="Z32" s="2">
        <v>0</v>
      </c>
      <c r="AA32" s="43"/>
      <c r="AB32" s="43">
        <f t="shared" si="4"/>
        <v>3.1128239508575246E-2</v>
      </c>
      <c r="AC32" s="52">
        <v>0</v>
      </c>
      <c r="AD32" s="2"/>
      <c r="AE32" s="2"/>
      <c r="AF32" s="2"/>
      <c r="AG32" s="2"/>
      <c r="AH32" s="2"/>
      <c r="AI32" s="2"/>
      <c r="AJ32" s="2"/>
      <c r="AK32" s="2" t="s">
        <v>84</v>
      </c>
      <c r="AL32" s="2" t="s">
        <v>87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s">
        <v>87</v>
      </c>
      <c r="BB32" s="18">
        <f t="shared" ref="BB32:BB35" si="5">BB31</f>
        <v>0.59281226563754541</v>
      </c>
      <c r="BC32" s="2"/>
      <c r="BD32" s="2"/>
      <c r="BE32" s="2"/>
      <c r="BF32" s="2"/>
      <c r="BG32" s="2"/>
      <c r="BH32" s="2"/>
    </row>
    <row r="33" spans="9:60" x14ac:dyDescent="0.35">
      <c r="I33" s="2">
        <f t="shared" si="0"/>
        <v>21</v>
      </c>
      <c r="J33" s="51">
        <f>R32</f>
        <v>0.6536663887512224</v>
      </c>
      <c r="K33" s="47" t="s">
        <v>112</v>
      </c>
      <c r="L33" s="2"/>
      <c r="M33" s="40"/>
      <c r="N33" s="18">
        <f>N32</f>
        <v>0.72656250292710334</v>
      </c>
      <c r="O33" s="51" t="s">
        <v>61</v>
      </c>
      <c r="P33" s="2">
        <v>0.314</v>
      </c>
      <c r="Q33" s="40">
        <f>($F$8+P33*($F$9-$F$8)) / 1440</f>
        <v>9.1250000000000012E-3</v>
      </c>
      <c r="R33" s="18">
        <f>Q33+J33</f>
        <v>0.66279138875122245</v>
      </c>
      <c r="S33" s="2">
        <v>0.121</v>
      </c>
      <c r="T33" s="2" t="s">
        <v>102</v>
      </c>
      <c r="U33" s="2">
        <v>0.161</v>
      </c>
      <c r="V33" s="2" t="s">
        <v>103</v>
      </c>
      <c r="W33" s="2"/>
      <c r="X33" s="40">
        <f>X32</f>
        <v>8.3212792793602469E-2</v>
      </c>
      <c r="Y33" s="48">
        <v>0</v>
      </c>
      <c r="Z33" s="2">
        <v>0</v>
      </c>
      <c r="AA33" s="43"/>
      <c r="AB33" s="43">
        <f t="shared" si="4"/>
        <v>3.1128239508575246E-2</v>
      </c>
      <c r="AC33" s="52">
        <v>0</v>
      </c>
      <c r="AD33" s="2"/>
      <c r="AE33" s="2"/>
      <c r="AF33" s="2"/>
      <c r="AG33" s="2"/>
      <c r="AH33" s="2"/>
      <c r="AI33" s="2"/>
      <c r="AJ33" s="2"/>
      <c r="AK33" s="59"/>
      <c r="AL33" s="2" t="s">
        <v>84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s">
        <v>87</v>
      </c>
      <c r="BB33" s="18">
        <f t="shared" si="5"/>
        <v>0.59281226563754541</v>
      </c>
      <c r="BC33" s="2"/>
      <c r="BD33" s="2"/>
      <c r="BE33" s="2"/>
      <c r="BF33" s="2"/>
      <c r="BG33" s="2"/>
      <c r="BH33" s="2"/>
    </row>
    <row r="34" spans="9:60" x14ac:dyDescent="0.35">
      <c r="I34" s="2">
        <f t="shared" si="0"/>
        <v>22</v>
      </c>
      <c r="J34" s="18">
        <f>R33</f>
        <v>0.66279138875122245</v>
      </c>
      <c r="K34" s="47" t="s">
        <v>114</v>
      </c>
      <c r="L34" s="2"/>
      <c r="M34" s="40"/>
      <c r="N34" s="19">
        <f>N33</f>
        <v>0.72656250292710334</v>
      </c>
      <c r="O34" s="51" t="s">
        <v>60</v>
      </c>
      <c r="P34" s="2"/>
      <c r="Q34" s="40"/>
      <c r="R34" s="18"/>
      <c r="S34" s="2">
        <v>0.40300000000000002</v>
      </c>
      <c r="T34" s="2" t="s">
        <v>54</v>
      </c>
      <c r="U34" s="2"/>
      <c r="V34" s="2" t="s">
        <v>55</v>
      </c>
      <c r="W34" s="2"/>
      <c r="X34" s="40">
        <f>X33</f>
        <v>8.3212792793602469E-2</v>
      </c>
      <c r="Y34" s="48">
        <v>0</v>
      </c>
      <c r="Z34" s="2">
        <v>1</v>
      </c>
      <c r="AA34" s="43"/>
      <c r="AB34" s="43">
        <f t="shared" si="4"/>
        <v>3.1128239508575246E-2</v>
      </c>
      <c r="AC34" s="52">
        <v>0</v>
      </c>
      <c r="AD34" s="2"/>
      <c r="AE34" s="2"/>
      <c r="AF34" s="2"/>
      <c r="AG34" s="2"/>
      <c r="AH34" s="2"/>
      <c r="AI34" s="2"/>
      <c r="AJ34" s="2"/>
      <c r="AK34" s="2"/>
      <c r="AL34" s="21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s">
        <v>90</v>
      </c>
      <c r="BB34" s="18">
        <f t="shared" si="5"/>
        <v>0.59281226563754541</v>
      </c>
      <c r="BC34" s="2"/>
      <c r="BD34" s="2"/>
      <c r="BE34" s="2" t="s">
        <v>87</v>
      </c>
      <c r="BF34" s="18">
        <f>J34</f>
        <v>0.66279138875122245</v>
      </c>
      <c r="BG34" s="2"/>
      <c r="BH34" s="2"/>
    </row>
    <row r="35" spans="9:60" x14ac:dyDescent="0.35">
      <c r="I35" s="2">
        <f t="shared" si="0"/>
        <v>23</v>
      </c>
      <c r="J35" s="51">
        <f>N34</f>
        <v>0.72656250292710334</v>
      </c>
      <c r="K35" s="2" t="s">
        <v>115</v>
      </c>
      <c r="L35" s="2">
        <v>0.69299999999999995</v>
      </c>
      <c r="M35" s="40">
        <f>-$C$3*LN(1-L35) / 1440</f>
        <v>3.6903360356091867E-2</v>
      </c>
      <c r="N35" s="18">
        <f>M35+J35</f>
        <v>0.76346586328319521</v>
      </c>
      <c r="O35" s="51" t="s">
        <v>61</v>
      </c>
      <c r="P35" s="2">
        <v>0.12</v>
      </c>
      <c r="Q35" s="40">
        <f>($F$8+P35*($F$9-$F$8)) / 1440</f>
        <v>7.7777777777777776E-3</v>
      </c>
      <c r="R35" s="19">
        <f>Q35+J35</f>
        <v>0.73434028070488111</v>
      </c>
      <c r="S35" s="2"/>
      <c r="T35" s="2"/>
      <c r="U35" s="2"/>
      <c r="V35" s="2"/>
      <c r="W35" s="2"/>
      <c r="X35" s="40">
        <f>BD35</f>
        <v>1.9441678617721586E-2</v>
      </c>
      <c r="Y35" s="48">
        <v>0</v>
      </c>
      <c r="Z35" s="2">
        <v>1</v>
      </c>
      <c r="AA35" s="43"/>
      <c r="AB35" s="43">
        <f t="shared" si="4"/>
        <v>3.1128239508575246E-2</v>
      </c>
      <c r="AC35" s="52">
        <v>0</v>
      </c>
      <c r="AD35" s="2"/>
      <c r="AE35" s="2"/>
      <c r="AF35" s="2"/>
      <c r="AG35" s="2"/>
      <c r="AH35" s="2"/>
      <c r="AI35" s="2"/>
      <c r="AJ35" s="2"/>
      <c r="AK35" s="2"/>
      <c r="AL35" s="2"/>
      <c r="AM35" s="2" t="s">
        <v>84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s">
        <v>87</v>
      </c>
      <c r="BB35" s="18">
        <f t="shared" si="5"/>
        <v>0.59281226563754541</v>
      </c>
      <c r="BC35" s="2"/>
      <c r="BD35" s="40">
        <f>X34-(J35-J34)</f>
        <v>1.9441678617721586E-2</v>
      </c>
      <c r="BE35" s="2" t="s">
        <v>87</v>
      </c>
      <c r="BF35" s="18">
        <f>BF34</f>
        <v>0.66279138875122245</v>
      </c>
      <c r="BG35" s="2"/>
      <c r="BH35" s="2"/>
    </row>
    <row r="36" spans="9:60" x14ac:dyDescent="0.35">
      <c r="I36" s="2">
        <f t="shared" si="0"/>
        <v>24</v>
      </c>
      <c r="J36" s="51">
        <f>R35</f>
        <v>0.73434028070488111</v>
      </c>
      <c r="K36" s="47" t="s">
        <v>116</v>
      </c>
      <c r="L36" s="2"/>
      <c r="M36" s="40"/>
      <c r="N36" s="18">
        <f>N35</f>
        <v>0.76346586328319521</v>
      </c>
      <c r="O36" s="51" t="s">
        <v>60</v>
      </c>
      <c r="P36" s="2"/>
      <c r="Q36" s="40"/>
      <c r="R36" s="18"/>
      <c r="S36" s="2"/>
      <c r="T36" s="2"/>
      <c r="U36" s="2"/>
      <c r="V36" s="2"/>
      <c r="W36" s="2"/>
      <c r="X36" s="40"/>
      <c r="Y36" s="48">
        <v>0</v>
      </c>
      <c r="Z36" s="2">
        <v>1</v>
      </c>
      <c r="AA36" s="43"/>
      <c r="AB36" s="43">
        <f t="shared" si="4"/>
        <v>3.1128239508575246E-2</v>
      </c>
      <c r="AC36" s="52">
        <v>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s">
        <v>90</v>
      </c>
      <c r="BB36" s="18">
        <f>BB35</f>
        <v>0.59281226563754541</v>
      </c>
      <c r="BC36" s="2"/>
      <c r="BD36" s="2"/>
      <c r="BE36" s="2" t="s">
        <v>87</v>
      </c>
      <c r="BF36" s="18">
        <f>BF35</f>
        <v>0.66279138875122245</v>
      </c>
      <c r="BG36" s="2"/>
      <c r="BH36" s="2"/>
    </row>
    <row r="37" spans="9:60" x14ac:dyDescent="0.35">
      <c r="I37" s="2">
        <f t="shared" si="0"/>
        <v>25</v>
      </c>
      <c r="J37" s="50">
        <f>J36+X35</f>
        <v>0.75378195932260272</v>
      </c>
      <c r="K37" s="60" t="s">
        <v>117</v>
      </c>
      <c r="L37" s="53"/>
      <c r="M37" s="55"/>
      <c r="N37" s="50">
        <f>N36</f>
        <v>0.76346586328319521</v>
      </c>
      <c r="O37" s="53" t="s">
        <v>60</v>
      </c>
      <c r="P37" s="53"/>
      <c r="Q37" s="55"/>
      <c r="R37" s="50"/>
      <c r="S37" s="53"/>
      <c r="T37" s="53"/>
      <c r="U37" s="53"/>
      <c r="V37" s="53"/>
      <c r="W37" s="53"/>
      <c r="X37" s="55"/>
      <c r="Y37" s="53">
        <v>0</v>
      </c>
      <c r="Z37" s="53">
        <v>0</v>
      </c>
      <c r="AA37" s="55"/>
      <c r="AB37" s="55">
        <f>AB36+X30</f>
        <v>0.16469515541585475</v>
      </c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0">
        <f>BB36</f>
        <v>0.59281226563754541</v>
      </c>
      <c r="BC37" s="50">
        <f>J37</f>
        <v>0.75378195932260272</v>
      </c>
      <c r="BD37" s="53"/>
      <c r="BE37" s="53" t="s">
        <v>90</v>
      </c>
      <c r="BF37" s="50">
        <f>BF36</f>
        <v>0.66279138875122245</v>
      </c>
      <c r="BG37" s="53"/>
      <c r="BH37" s="53"/>
    </row>
    <row r="38" spans="9:60" x14ac:dyDescent="0.35">
      <c r="I38" s="2">
        <f t="shared" si="0"/>
        <v>26</v>
      </c>
      <c r="M38" s="43"/>
      <c r="Q38" s="43"/>
      <c r="R38" s="49"/>
      <c r="T38" s="49"/>
      <c r="X38" s="43"/>
      <c r="AA38" s="43"/>
      <c r="AB38" s="43"/>
      <c r="BB38" s="54"/>
      <c r="BC38" s="54"/>
      <c r="BD38" s="54"/>
    </row>
    <row r="39" spans="9:60" x14ac:dyDescent="0.35">
      <c r="I39" s="2">
        <f t="shared" si="0"/>
        <v>27</v>
      </c>
      <c r="M39" s="43"/>
      <c r="Q39" s="43"/>
      <c r="R39" s="49"/>
      <c r="X39" s="43"/>
      <c r="AA39" s="43"/>
      <c r="AB39" s="43"/>
    </row>
    <row r="40" spans="9:60" x14ac:dyDescent="0.35">
      <c r="I40" s="2">
        <f t="shared" si="0"/>
        <v>28</v>
      </c>
      <c r="M40" s="43"/>
      <c r="Q40" s="43"/>
      <c r="R40" s="49"/>
      <c r="T40" s="49"/>
      <c r="X40" s="43"/>
      <c r="AA40" s="43"/>
      <c r="AB40" s="43"/>
    </row>
    <row r="41" spans="9:60" x14ac:dyDescent="0.35">
      <c r="I41" s="2">
        <f t="shared" si="0"/>
        <v>29</v>
      </c>
      <c r="N41" t="s">
        <v>118</v>
      </c>
      <c r="Q41" s="43"/>
      <c r="R41" s="49"/>
      <c r="X41" s="43"/>
      <c r="AA41" s="43"/>
      <c r="AB41" s="43"/>
    </row>
    <row r="42" spans="9:60" x14ac:dyDescent="0.35">
      <c r="I42" s="2">
        <f t="shared" si="0"/>
        <v>30</v>
      </c>
      <c r="M42" s="43"/>
      <c r="Q42" s="43"/>
      <c r="R42" s="49"/>
      <c r="X42" s="43"/>
      <c r="AA42" s="43"/>
      <c r="AB42" s="43"/>
    </row>
    <row r="43" spans="9:60" x14ac:dyDescent="0.35">
      <c r="I43" s="2">
        <f t="shared" si="0"/>
        <v>31</v>
      </c>
      <c r="M43" s="43"/>
      <c r="Q43" s="43"/>
      <c r="R43" s="49"/>
      <c r="X43" s="43"/>
      <c r="AA43" s="43"/>
      <c r="AB43" s="43"/>
    </row>
    <row r="44" spans="9:60" x14ac:dyDescent="0.35">
      <c r="I44" s="2">
        <f t="shared" si="0"/>
        <v>32</v>
      </c>
      <c r="M44" s="43"/>
      <c r="Q44" s="43"/>
      <c r="R44" s="49"/>
      <c r="X44" s="43"/>
      <c r="AA44" s="43"/>
      <c r="AB44" s="43"/>
    </row>
    <row r="45" spans="9:60" x14ac:dyDescent="0.35">
      <c r="I45" s="2">
        <f t="shared" si="0"/>
        <v>33</v>
      </c>
      <c r="M45" s="43"/>
      <c r="Q45" s="43"/>
      <c r="R45" s="49"/>
      <c r="X45" s="43"/>
      <c r="AA45" s="43"/>
      <c r="AB45" s="43"/>
    </row>
    <row r="46" spans="9:60" x14ac:dyDescent="0.35">
      <c r="I46" s="2">
        <f t="shared" si="0"/>
        <v>34</v>
      </c>
      <c r="M46" s="43"/>
      <c r="Q46" s="43"/>
      <c r="R46" s="49"/>
      <c r="X46" s="43"/>
      <c r="AA46" s="43"/>
      <c r="AB46" s="43"/>
    </row>
    <row r="47" spans="9:60" x14ac:dyDescent="0.35">
      <c r="I47" s="2">
        <f t="shared" si="0"/>
        <v>35</v>
      </c>
      <c r="M47" s="43"/>
      <c r="Q47" s="43"/>
      <c r="R47" s="49"/>
      <c r="X47" s="43"/>
      <c r="AA47" s="43"/>
      <c r="AB47" s="43"/>
    </row>
    <row r="48" spans="9:60" x14ac:dyDescent="0.35">
      <c r="I48" s="2">
        <f t="shared" si="0"/>
        <v>36</v>
      </c>
      <c r="M48" s="43"/>
      <c r="Q48" s="43"/>
      <c r="R48" s="49"/>
      <c r="X48" s="43"/>
      <c r="AA48" s="43"/>
      <c r="AB48" s="43"/>
    </row>
    <row r="49" spans="9:36" x14ac:dyDescent="0.35">
      <c r="I49" s="2">
        <f t="shared" si="0"/>
        <v>37</v>
      </c>
      <c r="M49" s="43"/>
      <c r="Q49" s="43"/>
      <c r="R49" s="49"/>
      <c r="X49" s="43"/>
      <c r="AA49" s="43"/>
      <c r="AB49" s="43"/>
    </row>
    <row r="50" spans="9:36" x14ac:dyDescent="0.35">
      <c r="I50" s="2">
        <f t="shared" si="0"/>
        <v>38</v>
      </c>
      <c r="M50" s="43"/>
      <c r="Q50" s="43"/>
      <c r="R50" s="49"/>
      <c r="X50" s="43"/>
      <c r="AA50" s="43"/>
      <c r="AB50" s="43"/>
    </row>
    <row r="51" spans="9:36" x14ac:dyDescent="0.35">
      <c r="I51" s="2">
        <f t="shared" si="0"/>
        <v>39</v>
      </c>
      <c r="M51" s="43"/>
      <c r="Q51" s="43"/>
      <c r="R51" s="49"/>
      <c r="X51" s="43"/>
      <c r="AA51" s="43"/>
      <c r="AB51" s="43"/>
    </row>
    <row r="52" spans="9:36" x14ac:dyDescent="0.35">
      <c r="I52" s="2">
        <f t="shared" si="0"/>
        <v>40</v>
      </c>
      <c r="M52" s="43"/>
      <c r="Q52" s="43"/>
      <c r="X52" s="43"/>
      <c r="AA52" s="43"/>
      <c r="AB52" s="43"/>
      <c r="AE52" s="26" t="s">
        <v>17</v>
      </c>
      <c r="AF52" s="26"/>
      <c r="AG52" s="26"/>
      <c r="AH52" s="26"/>
      <c r="AI52" s="26"/>
    </row>
    <row r="53" spans="9:36" x14ac:dyDescent="0.35">
      <c r="M53" s="43"/>
      <c r="Q53" s="43"/>
      <c r="X53" s="43"/>
      <c r="AB53" s="43"/>
      <c r="AE53" s="2" t="s">
        <v>24</v>
      </c>
      <c r="AF53" s="1" t="s">
        <v>18</v>
      </c>
      <c r="AG53" s="1" t="s">
        <v>21</v>
      </c>
      <c r="AH53" s="1" t="s">
        <v>22</v>
      </c>
      <c r="AI53" s="1" t="s">
        <v>23</v>
      </c>
    </row>
    <row r="54" spans="9:36" x14ac:dyDescent="0.35">
      <c r="M54" s="43"/>
      <c r="Q54" s="43"/>
      <c r="X54" s="43"/>
      <c r="AB54" s="43"/>
      <c r="AE54" s="2" t="s">
        <v>19</v>
      </c>
      <c r="AF54" s="2">
        <v>0.3</v>
      </c>
      <c r="AG54" s="2">
        <v>0.3</v>
      </c>
      <c r="AH54" s="2">
        <v>0</v>
      </c>
      <c r="AI54" s="2">
        <v>0.29899999999999999</v>
      </c>
    </row>
    <row r="55" spans="9:36" x14ac:dyDescent="0.35">
      <c r="M55" s="43"/>
      <c r="X55" s="43"/>
      <c r="AB55" s="43"/>
      <c r="AE55" s="2" t="s">
        <v>20</v>
      </c>
      <c r="AF55" s="2">
        <v>0.7</v>
      </c>
      <c r="AG55" s="2">
        <v>1</v>
      </c>
      <c r="AH55" s="2">
        <v>0.3</v>
      </c>
      <c r="AI55" s="2">
        <v>0.999</v>
      </c>
    </row>
    <row r="56" spans="9:36" x14ac:dyDescent="0.35">
      <c r="M56" s="43"/>
      <c r="X56" s="43"/>
      <c r="AB56" s="43"/>
    </row>
    <row r="57" spans="9:36" x14ac:dyDescent="0.35">
      <c r="M57" s="43"/>
      <c r="X57" s="43"/>
      <c r="AB57" s="43"/>
      <c r="AE57" s="26" t="s">
        <v>25</v>
      </c>
      <c r="AF57" s="26"/>
      <c r="AG57" s="26"/>
      <c r="AH57" s="26"/>
      <c r="AI57" s="26"/>
    </row>
    <row r="58" spans="9:36" x14ac:dyDescent="0.35">
      <c r="M58" s="43"/>
      <c r="X58" s="43"/>
      <c r="AB58" s="43"/>
      <c r="AE58" s="2" t="s">
        <v>24</v>
      </c>
      <c r="AF58" s="1" t="s">
        <v>18</v>
      </c>
      <c r="AG58" s="1" t="s">
        <v>21</v>
      </c>
      <c r="AH58" s="1" t="s">
        <v>22</v>
      </c>
      <c r="AI58" s="1" t="s">
        <v>23</v>
      </c>
    </row>
    <row r="59" spans="9:36" x14ac:dyDescent="0.35">
      <c r="M59" s="43"/>
      <c r="X59" s="43"/>
      <c r="AB59" s="43"/>
      <c r="AE59" s="2" t="s">
        <v>88</v>
      </c>
      <c r="AF59" s="2">
        <v>0.5</v>
      </c>
      <c r="AG59" s="2">
        <v>0.5</v>
      </c>
      <c r="AH59" s="2">
        <v>0</v>
      </c>
      <c r="AI59" s="2">
        <v>0.499</v>
      </c>
      <c r="AJ59" s="2" t="s">
        <v>30</v>
      </c>
    </row>
    <row r="60" spans="9:36" x14ac:dyDescent="0.35">
      <c r="M60" s="43"/>
      <c r="X60" s="43"/>
      <c r="AB60" s="43"/>
      <c r="AE60" s="2" t="s">
        <v>89</v>
      </c>
      <c r="AF60" s="2">
        <v>0.5</v>
      </c>
      <c r="AG60" s="2">
        <v>1</v>
      </c>
      <c r="AH60" s="2">
        <v>0.5</v>
      </c>
      <c r="AI60" s="2">
        <v>0.999</v>
      </c>
    </row>
    <row r="61" spans="9:36" x14ac:dyDescent="0.35">
      <c r="M61" s="43"/>
      <c r="X61" s="43"/>
      <c r="AB61" s="43"/>
    </row>
    <row r="62" spans="9:36" x14ac:dyDescent="0.35">
      <c r="M62" s="43"/>
      <c r="X62" s="43"/>
      <c r="AB62" s="43"/>
      <c r="AE62" s="32" t="s">
        <v>26</v>
      </c>
      <c r="AF62" s="32"/>
      <c r="AG62" s="32"/>
      <c r="AH62" s="32"/>
      <c r="AI62" s="32"/>
    </row>
    <row r="63" spans="9:36" x14ac:dyDescent="0.35">
      <c r="M63" s="43"/>
      <c r="X63" s="43"/>
      <c r="AB63" s="43"/>
      <c r="AE63" s="32"/>
      <c r="AF63" s="32"/>
      <c r="AG63" s="32"/>
      <c r="AH63" s="32"/>
      <c r="AI63" s="32"/>
    </row>
    <row r="64" spans="9:36" x14ac:dyDescent="0.35">
      <c r="M64" s="43"/>
      <c r="X64" s="43"/>
      <c r="AB64" s="43"/>
    </row>
    <row r="65" spans="13:28" x14ac:dyDescent="0.35">
      <c r="M65" s="43"/>
      <c r="X65" s="43"/>
      <c r="AB65" s="43"/>
    </row>
    <row r="66" spans="13:28" x14ac:dyDescent="0.35">
      <c r="M66" s="43"/>
      <c r="X66" s="43"/>
      <c r="AB66" s="43"/>
    </row>
    <row r="67" spans="13:28" x14ac:dyDescent="0.35">
      <c r="M67" s="43"/>
      <c r="X67" s="43"/>
      <c r="AB67" s="43"/>
    </row>
    <row r="68" spans="13:28" x14ac:dyDescent="0.35">
      <c r="M68" s="43"/>
      <c r="X68" s="43"/>
      <c r="AB68" s="43"/>
    </row>
    <row r="69" spans="13:28" x14ac:dyDescent="0.35">
      <c r="M69" s="43"/>
      <c r="X69" s="43"/>
      <c r="AB69" s="43"/>
    </row>
    <row r="70" spans="13:28" x14ac:dyDescent="0.35">
      <c r="M70" s="43"/>
      <c r="X70" s="43"/>
      <c r="AB70" s="43"/>
    </row>
    <row r="71" spans="13:28" x14ac:dyDescent="0.35">
      <c r="M71" s="43"/>
      <c r="X71" s="43"/>
      <c r="AB71" s="43"/>
    </row>
    <row r="72" spans="13:28" x14ac:dyDescent="0.35">
      <c r="M72" s="43"/>
      <c r="X72" s="43"/>
      <c r="AB72" s="43"/>
    </row>
    <row r="73" spans="13:28" x14ac:dyDescent="0.35">
      <c r="M73" s="43"/>
      <c r="X73" s="43"/>
      <c r="AB73" s="43"/>
    </row>
    <row r="74" spans="13:28" x14ac:dyDescent="0.35">
      <c r="M74" s="43"/>
      <c r="X74" s="43"/>
      <c r="AB74" s="43"/>
    </row>
    <row r="75" spans="13:28" x14ac:dyDescent="0.35">
      <c r="M75" s="43"/>
      <c r="X75" s="43"/>
      <c r="AB75" s="43"/>
    </row>
    <row r="76" spans="13:28" x14ac:dyDescent="0.35">
      <c r="M76" s="43"/>
      <c r="X76" s="43"/>
      <c r="AB76" s="43"/>
    </row>
    <row r="77" spans="13:28" x14ac:dyDescent="0.35">
      <c r="M77" s="43"/>
      <c r="X77" s="43"/>
      <c r="AB77" s="43"/>
    </row>
    <row r="78" spans="13:28" x14ac:dyDescent="0.35">
      <c r="M78" s="43"/>
      <c r="X78" s="43"/>
      <c r="AB78" s="43"/>
    </row>
    <row r="79" spans="13:28" x14ac:dyDescent="0.35">
      <c r="M79" s="43"/>
      <c r="X79" s="43"/>
      <c r="AB79" s="43"/>
    </row>
    <row r="80" spans="13:28" x14ac:dyDescent="0.35">
      <c r="M80" s="43"/>
      <c r="X80" s="43"/>
      <c r="AB80" s="43"/>
    </row>
    <row r="81" spans="13:28" x14ac:dyDescent="0.35">
      <c r="M81" s="43"/>
      <c r="X81" s="43"/>
      <c r="AB81" s="43"/>
    </row>
    <row r="82" spans="13:28" x14ac:dyDescent="0.35">
      <c r="M82" s="43"/>
      <c r="X82" s="43"/>
      <c r="AB82" s="43"/>
    </row>
    <row r="83" spans="13:28" x14ac:dyDescent="0.35">
      <c r="M83" s="43"/>
      <c r="X83" s="43"/>
      <c r="AB83" s="43"/>
    </row>
    <row r="84" spans="13:28" x14ac:dyDescent="0.35">
      <c r="M84" s="43"/>
      <c r="X84" s="43"/>
      <c r="AB84" s="43"/>
    </row>
    <row r="85" spans="13:28" x14ac:dyDescent="0.35">
      <c r="M85" s="43"/>
      <c r="X85" s="43"/>
      <c r="AB85" s="43"/>
    </row>
    <row r="86" spans="13:28" x14ac:dyDescent="0.35">
      <c r="M86" s="43"/>
      <c r="X86" s="43"/>
      <c r="AB86" s="43"/>
    </row>
    <row r="87" spans="13:28" x14ac:dyDescent="0.35">
      <c r="M87" s="43"/>
      <c r="X87" s="43"/>
      <c r="AB87" s="43"/>
    </row>
    <row r="88" spans="13:28" x14ac:dyDescent="0.35">
      <c r="M88" s="43"/>
      <c r="X88" s="43"/>
      <c r="AB88" s="43"/>
    </row>
    <row r="89" spans="13:28" x14ac:dyDescent="0.35">
      <c r="M89" s="43"/>
      <c r="AB89" s="43"/>
    </row>
    <row r="90" spans="13:28" x14ac:dyDescent="0.35">
      <c r="M90" s="43"/>
      <c r="AB90" s="43"/>
    </row>
    <row r="91" spans="13:28" x14ac:dyDescent="0.35">
      <c r="M91" s="43"/>
      <c r="AB91" s="43"/>
    </row>
    <row r="92" spans="13:28" x14ac:dyDescent="0.35">
      <c r="M92" s="43"/>
      <c r="AB92" s="43"/>
    </row>
    <row r="93" spans="13:28" x14ac:dyDescent="0.35">
      <c r="M93" s="43"/>
      <c r="AB93" s="43"/>
    </row>
    <row r="94" spans="13:28" x14ac:dyDescent="0.35">
      <c r="M94" s="43"/>
      <c r="AB94" s="43"/>
    </row>
    <row r="95" spans="13:28" x14ac:dyDescent="0.35">
      <c r="M95" s="43"/>
      <c r="AB95" s="43"/>
    </row>
    <row r="96" spans="13:28" x14ac:dyDescent="0.35">
      <c r="M96" s="43"/>
      <c r="AB96" s="43"/>
    </row>
    <row r="97" spans="13:28" x14ac:dyDescent="0.35">
      <c r="M97" s="43"/>
      <c r="AB97" s="43"/>
    </row>
    <row r="98" spans="13:28" x14ac:dyDescent="0.35">
      <c r="M98" s="43"/>
      <c r="AB98" s="43"/>
    </row>
    <row r="99" spans="13:28" x14ac:dyDescent="0.35">
      <c r="M99" s="43"/>
      <c r="AB99" s="43"/>
    </row>
    <row r="100" spans="13:28" x14ac:dyDescent="0.35">
      <c r="M100" s="43"/>
      <c r="AB100" s="43"/>
    </row>
    <row r="101" spans="13:28" x14ac:dyDescent="0.35">
      <c r="M101" s="43"/>
      <c r="AB101" s="43"/>
    </row>
    <row r="102" spans="13:28" x14ac:dyDescent="0.35">
      <c r="M102" s="43"/>
      <c r="AB102" s="43"/>
    </row>
    <row r="103" spans="13:28" x14ac:dyDescent="0.35">
      <c r="M103" s="43"/>
      <c r="AB103" s="43"/>
    </row>
    <row r="104" spans="13:28" x14ac:dyDescent="0.35">
      <c r="M104" s="43"/>
      <c r="AB104" s="43"/>
    </row>
    <row r="105" spans="13:28" x14ac:dyDescent="0.35">
      <c r="M105" s="43"/>
      <c r="AB105" s="43"/>
    </row>
    <row r="106" spans="13:28" x14ac:dyDescent="0.35">
      <c r="M106" s="43"/>
      <c r="AB106" s="43"/>
    </row>
    <row r="107" spans="13:28" x14ac:dyDescent="0.35">
      <c r="M107" s="43"/>
      <c r="AB107" s="43"/>
    </row>
    <row r="108" spans="13:28" x14ac:dyDescent="0.35">
      <c r="M108" s="43"/>
      <c r="AB108" s="43"/>
    </row>
    <row r="109" spans="13:28" x14ac:dyDescent="0.35">
      <c r="M109" s="43"/>
      <c r="AB109" s="43"/>
    </row>
    <row r="110" spans="13:28" x14ac:dyDescent="0.35">
      <c r="M110" s="43"/>
      <c r="AB110" s="43"/>
    </row>
    <row r="111" spans="13:28" x14ac:dyDescent="0.35">
      <c r="M111" s="43"/>
      <c r="AB111" s="43"/>
    </row>
    <row r="112" spans="13:28" x14ac:dyDescent="0.35">
      <c r="M112" s="43"/>
      <c r="AB112" s="43"/>
    </row>
    <row r="113" spans="13:28" x14ac:dyDescent="0.35">
      <c r="M113" s="43"/>
      <c r="AB113" s="43"/>
    </row>
    <row r="114" spans="13:28" x14ac:dyDescent="0.35">
      <c r="M114" s="43"/>
      <c r="AB114" s="43"/>
    </row>
    <row r="115" spans="13:28" x14ac:dyDescent="0.35">
      <c r="M115" s="43"/>
      <c r="AB115" s="43"/>
    </row>
    <row r="116" spans="13:28" x14ac:dyDescent="0.35">
      <c r="M116" s="43"/>
      <c r="AB116" s="43"/>
    </row>
    <row r="117" spans="13:28" x14ac:dyDescent="0.35">
      <c r="M117" s="43"/>
      <c r="AB117" s="43"/>
    </row>
    <row r="118" spans="13:28" x14ac:dyDescent="0.35">
      <c r="M118" s="43"/>
      <c r="AB118" s="43"/>
    </row>
    <row r="119" spans="13:28" x14ac:dyDescent="0.35">
      <c r="M119" s="43"/>
      <c r="AB119" s="43"/>
    </row>
    <row r="120" spans="13:28" x14ac:dyDescent="0.35">
      <c r="M120" s="43"/>
      <c r="AB120" s="43"/>
    </row>
    <row r="121" spans="13:28" x14ac:dyDescent="0.35">
      <c r="M121" s="43"/>
      <c r="AB121" s="43"/>
    </row>
    <row r="122" spans="13:28" x14ac:dyDescent="0.35">
      <c r="M122" s="43"/>
      <c r="AB122" s="43"/>
    </row>
    <row r="123" spans="13:28" x14ac:dyDescent="0.35">
      <c r="M123" s="43"/>
      <c r="AB123" s="43"/>
    </row>
    <row r="124" spans="13:28" x14ac:dyDescent="0.35">
      <c r="M124" s="43"/>
      <c r="AB124" s="43"/>
    </row>
    <row r="125" spans="13:28" x14ac:dyDescent="0.35">
      <c r="M125" s="43"/>
      <c r="AB125" s="43"/>
    </row>
    <row r="126" spans="13:28" x14ac:dyDescent="0.35">
      <c r="M126" s="43"/>
      <c r="AB126" s="43"/>
    </row>
    <row r="127" spans="13:28" x14ac:dyDescent="0.35">
      <c r="M127" s="43"/>
      <c r="AB127" s="43"/>
    </row>
    <row r="128" spans="13:28" x14ac:dyDescent="0.35">
      <c r="M128" s="43"/>
      <c r="AB128" s="43"/>
    </row>
    <row r="129" spans="13:28" x14ac:dyDescent="0.35">
      <c r="M129" s="43"/>
      <c r="AB129" s="43"/>
    </row>
    <row r="130" spans="13:28" x14ac:dyDescent="0.35">
      <c r="M130" s="43"/>
      <c r="AB130" s="43"/>
    </row>
    <row r="131" spans="13:28" x14ac:dyDescent="0.35">
      <c r="M131" s="43"/>
      <c r="AB131" s="43"/>
    </row>
    <row r="132" spans="13:28" x14ac:dyDescent="0.35">
      <c r="M132" s="43"/>
      <c r="AB132" s="43"/>
    </row>
    <row r="133" spans="13:28" x14ac:dyDescent="0.35">
      <c r="M133" s="43"/>
      <c r="AB133" s="43"/>
    </row>
    <row r="134" spans="13:28" x14ac:dyDescent="0.35">
      <c r="M134" s="43"/>
      <c r="AB134" s="43"/>
    </row>
    <row r="135" spans="13:28" x14ac:dyDescent="0.35">
      <c r="M135" s="43"/>
      <c r="AB135" s="43"/>
    </row>
    <row r="136" spans="13:28" x14ac:dyDescent="0.35">
      <c r="M136" s="43"/>
      <c r="AB136" s="43"/>
    </row>
    <row r="137" spans="13:28" x14ac:dyDescent="0.35">
      <c r="M137" s="43"/>
      <c r="AB137" s="43"/>
    </row>
    <row r="138" spans="13:28" x14ac:dyDescent="0.35">
      <c r="M138" s="43"/>
      <c r="AB138" s="43"/>
    </row>
    <row r="139" spans="13:28" x14ac:dyDescent="0.35">
      <c r="M139" s="43"/>
      <c r="AB139" s="43"/>
    </row>
    <row r="140" spans="13:28" x14ac:dyDescent="0.35">
      <c r="M140" s="43"/>
      <c r="AB140" s="43"/>
    </row>
    <row r="141" spans="13:28" x14ac:dyDescent="0.35">
      <c r="M141" s="43"/>
      <c r="AB141" s="43"/>
    </row>
    <row r="142" spans="13:28" x14ac:dyDescent="0.35">
      <c r="M142" s="43"/>
      <c r="AB142" s="43"/>
    </row>
    <row r="143" spans="13:28" x14ac:dyDescent="0.35">
      <c r="M143" s="43"/>
      <c r="AB143" s="43"/>
    </row>
    <row r="144" spans="13:28" x14ac:dyDescent="0.35">
      <c r="M144" s="43"/>
      <c r="AB144" s="43"/>
    </row>
    <row r="145" spans="13:28" x14ac:dyDescent="0.35">
      <c r="M145" s="43"/>
      <c r="AB145" s="43"/>
    </row>
    <row r="146" spans="13:28" x14ac:dyDescent="0.35">
      <c r="M146" s="43"/>
      <c r="AB146" s="43"/>
    </row>
    <row r="147" spans="13:28" x14ac:dyDescent="0.35">
      <c r="M147" s="43"/>
      <c r="AB147" s="43"/>
    </row>
    <row r="148" spans="13:28" x14ac:dyDescent="0.35">
      <c r="M148" s="43"/>
      <c r="AB148" s="43"/>
    </row>
    <row r="149" spans="13:28" x14ac:dyDescent="0.35">
      <c r="M149" s="43"/>
      <c r="AB149" s="43"/>
    </row>
    <row r="150" spans="13:28" x14ac:dyDescent="0.35">
      <c r="M150" s="43"/>
      <c r="AB150" s="43"/>
    </row>
    <row r="151" spans="13:28" x14ac:dyDescent="0.35">
      <c r="M151" s="43"/>
      <c r="AB151" s="43"/>
    </row>
    <row r="152" spans="13:28" x14ac:dyDescent="0.35">
      <c r="M152" s="43"/>
      <c r="AB152" s="43"/>
    </row>
    <row r="153" spans="13:28" x14ac:dyDescent="0.35">
      <c r="M153" s="43"/>
      <c r="AB153" s="43"/>
    </row>
    <row r="154" spans="13:28" x14ac:dyDescent="0.35">
      <c r="M154" s="43"/>
      <c r="AB154" s="43"/>
    </row>
    <row r="155" spans="13:28" x14ac:dyDescent="0.35">
      <c r="M155" s="43"/>
      <c r="AB155" s="43"/>
    </row>
    <row r="156" spans="13:28" x14ac:dyDescent="0.35">
      <c r="M156" s="43"/>
      <c r="AB156" s="43"/>
    </row>
    <row r="157" spans="13:28" x14ac:dyDescent="0.35">
      <c r="M157" s="43"/>
      <c r="AB157" s="43"/>
    </row>
    <row r="158" spans="13:28" x14ac:dyDescent="0.35">
      <c r="M158" s="43"/>
      <c r="AB158" s="43"/>
    </row>
    <row r="159" spans="13:28" x14ac:dyDescent="0.35">
      <c r="M159" s="43"/>
      <c r="AB159" s="43"/>
    </row>
    <row r="160" spans="13:28" x14ac:dyDescent="0.35">
      <c r="M160" s="43"/>
      <c r="AB160" s="43"/>
    </row>
    <row r="161" spans="13:28" x14ac:dyDescent="0.35">
      <c r="M161" s="43"/>
      <c r="AB161" s="43"/>
    </row>
    <row r="162" spans="13:28" x14ac:dyDescent="0.35">
      <c r="M162" s="43"/>
      <c r="AB162" s="43"/>
    </row>
    <row r="163" spans="13:28" x14ac:dyDescent="0.35">
      <c r="M163" s="43"/>
      <c r="AB163" s="43"/>
    </row>
    <row r="164" spans="13:28" x14ac:dyDescent="0.35">
      <c r="M164" s="43"/>
      <c r="AB164" s="43"/>
    </row>
    <row r="165" spans="13:28" x14ac:dyDescent="0.35">
      <c r="M165" s="43"/>
      <c r="AB165" s="43"/>
    </row>
    <row r="166" spans="13:28" x14ac:dyDescent="0.35">
      <c r="M166" s="43"/>
      <c r="AB166" s="43"/>
    </row>
    <row r="167" spans="13:28" x14ac:dyDescent="0.35">
      <c r="M167" s="43"/>
      <c r="AB167" s="43"/>
    </row>
    <row r="168" spans="13:28" x14ac:dyDescent="0.35">
      <c r="M168" s="43"/>
      <c r="AB168" s="43"/>
    </row>
    <row r="169" spans="13:28" x14ac:dyDescent="0.35">
      <c r="M169" s="43"/>
      <c r="AB169" s="43"/>
    </row>
    <row r="170" spans="13:28" x14ac:dyDescent="0.35">
      <c r="M170" s="43"/>
      <c r="AB170" s="43"/>
    </row>
    <row r="171" spans="13:28" x14ac:dyDescent="0.35">
      <c r="M171" s="43"/>
      <c r="AB171" s="43"/>
    </row>
    <row r="172" spans="13:28" x14ac:dyDescent="0.35">
      <c r="M172" s="43"/>
      <c r="AB172" s="43"/>
    </row>
    <row r="173" spans="13:28" x14ac:dyDescent="0.35">
      <c r="M173" s="43"/>
      <c r="AB173" s="43"/>
    </row>
    <row r="174" spans="13:28" x14ac:dyDescent="0.35">
      <c r="M174" s="43"/>
      <c r="AB174" s="43"/>
    </row>
    <row r="175" spans="13:28" x14ac:dyDescent="0.35">
      <c r="M175" s="43"/>
      <c r="AB175" s="43"/>
    </row>
    <row r="176" spans="13:28" x14ac:dyDescent="0.35">
      <c r="M176" s="43"/>
      <c r="AB176" s="43"/>
    </row>
    <row r="177" spans="13:13" x14ac:dyDescent="0.35">
      <c r="M177" s="43"/>
    </row>
    <row r="178" spans="13:13" x14ac:dyDescent="0.35">
      <c r="M178" s="43"/>
    </row>
    <row r="179" spans="13:13" x14ac:dyDescent="0.35">
      <c r="M179" s="43"/>
    </row>
    <row r="180" spans="13:13" x14ac:dyDescent="0.35">
      <c r="M180" s="43"/>
    </row>
    <row r="181" spans="13:13" x14ac:dyDescent="0.35">
      <c r="M181" s="43"/>
    </row>
    <row r="182" spans="13:13" x14ac:dyDescent="0.35">
      <c r="M182" s="43"/>
    </row>
  </sheetData>
  <mergeCells count="37">
    <mergeCell ref="AE52:AI52"/>
    <mergeCell ref="AE57:AI57"/>
    <mergeCell ref="AE62:AI63"/>
    <mergeCell ref="BE11:BH11"/>
    <mergeCell ref="E2:H2"/>
    <mergeCell ref="E4:F4"/>
    <mergeCell ref="E5:F5"/>
    <mergeCell ref="AW11:AZ11"/>
    <mergeCell ref="BA11:BD11"/>
    <mergeCell ref="AO10:BD10"/>
    <mergeCell ref="J9:BD9"/>
    <mergeCell ref="K2:O2"/>
    <mergeCell ref="L11:N11"/>
    <mergeCell ref="W11:X11"/>
    <mergeCell ref="Q3:R3"/>
    <mergeCell ref="Q4:R4"/>
    <mergeCell ref="S4:T4"/>
    <mergeCell ref="Q2:T2"/>
    <mergeCell ref="S3:T3"/>
    <mergeCell ref="AS11:AV11"/>
    <mergeCell ref="B24:F25"/>
    <mergeCell ref="G8:H9"/>
    <mergeCell ref="B4:C4"/>
    <mergeCell ref="G10:H10"/>
    <mergeCell ref="G7:H7"/>
    <mergeCell ref="D8:D9"/>
    <mergeCell ref="C8:C9"/>
    <mergeCell ref="B8:B9"/>
    <mergeCell ref="E7:F7"/>
    <mergeCell ref="B14:F14"/>
    <mergeCell ref="B19:F19"/>
    <mergeCell ref="AO11:AR11"/>
    <mergeCell ref="I11:I12"/>
    <mergeCell ref="AD10:AM10"/>
    <mergeCell ref="O11:V11"/>
    <mergeCell ref="AA11:AC11"/>
    <mergeCell ref="Y11:Z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Nazareno Derico</dc:creator>
  <cp:lastModifiedBy>Junior Jesus Quispe Ricra</cp:lastModifiedBy>
  <dcterms:created xsi:type="dcterms:W3CDTF">2015-06-05T18:17:20Z</dcterms:created>
  <dcterms:modified xsi:type="dcterms:W3CDTF">2026-05-23T15:34:55Z</dcterms:modified>
</cp:coreProperties>
</file>