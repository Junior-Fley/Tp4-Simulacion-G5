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UTN\Simulación\TP 4\Tp4-Simulacion-G5\1er Entrega\"/>
    </mc:Choice>
  </mc:AlternateContent>
  <xr:revisionPtr revIDLastSave="0" documentId="13_ncr:1_{68F53BC4-5D29-495B-A12A-33E34083BB4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2" i="1" l="1"/>
  <c r="AA22" i="1"/>
  <c r="AA21" i="1"/>
  <c r="AT22" i="1"/>
  <c r="AT21" i="1"/>
  <c r="AP21" i="1"/>
  <c r="AP22" i="1" s="1"/>
  <c r="AP20" i="1"/>
  <c r="AB22" i="1"/>
  <c r="AB21" i="1"/>
  <c r="AB20" i="1"/>
  <c r="AB19" i="1"/>
  <c r="AB16" i="1"/>
  <c r="AA20" i="1"/>
  <c r="Q22" i="1"/>
  <c r="Q20" i="1"/>
  <c r="AA17" i="1"/>
  <c r="Q18" i="1"/>
  <c r="R22" i="1"/>
  <c r="N22" i="1"/>
  <c r="M22" i="1"/>
  <c r="J22" i="1"/>
  <c r="X21" i="1"/>
  <c r="R21" i="1"/>
  <c r="Q21" i="1"/>
  <c r="N21" i="1"/>
  <c r="J21" i="1"/>
  <c r="X20" i="1"/>
  <c r="R20" i="1"/>
  <c r="N20" i="1"/>
  <c r="M20" i="1"/>
  <c r="J20" i="1"/>
  <c r="AP19" i="1"/>
  <c r="N19" i="1"/>
  <c r="R18" i="1"/>
  <c r="AN16" i="1"/>
  <c r="AL16" i="1"/>
  <c r="AM16" i="1"/>
  <c r="AL15" i="1"/>
  <c r="N16" i="1"/>
  <c r="J16" i="1"/>
  <c r="X19" i="1"/>
  <c r="I14" i="1"/>
  <c r="I15" i="1" s="1"/>
  <c r="I16" i="1" s="1"/>
  <c r="I17" i="1" s="1"/>
  <c r="I18" i="1" s="1"/>
  <c r="I19" i="1" s="1"/>
  <c r="I20" i="1" s="1"/>
  <c r="I21" i="1" s="1"/>
  <c r="I22" i="1" s="1"/>
  <c r="Q19" i="1"/>
  <c r="M18" i="1"/>
  <c r="Q17" i="1"/>
  <c r="M17" i="1"/>
  <c r="X15" i="1"/>
  <c r="Q14" i="1"/>
  <c r="AA15" i="1" s="1"/>
  <c r="AA16" i="1" s="1"/>
  <c r="M14" i="1"/>
  <c r="N14" i="1" s="1"/>
  <c r="N15" i="1" s="1"/>
  <c r="J17" i="1" s="1"/>
  <c r="M13" i="1"/>
  <c r="N13" i="1" s="1"/>
  <c r="T7" i="1"/>
  <c r="R14" i="1" l="1"/>
  <c r="J15" i="1" s="1"/>
  <c r="R17" i="1"/>
  <c r="J19" i="1" s="1"/>
  <c r="R19" i="1" s="1"/>
  <c r="N17" i="1"/>
  <c r="J18" i="1" s="1"/>
  <c r="N18" i="1" s="1"/>
  <c r="AB17" i="1"/>
  <c r="AB18" i="1" s="1"/>
  <c r="AA18" i="1" l="1"/>
  <c r="AA19" i="1" s="1"/>
</calcChain>
</file>

<file path=xl/sharedStrings.xml><?xml version="1.0" encoding="utf-8"?>
<sst xmlns="http://schemas.openxmlformats.org/spreadsheetml/2006/main" count="159" uniqueCount="102">
  <si>
    <t>Horario Apertura</t>
  </si>
  <si>
    <t>Horario Cierre</t>
  </si>
  <si>
    <t>hs</t>
  </si>
  <si>
    <t>Llegada de Clientes</t>
  </si>
  <si>
    <t>Media</t>
  </si>
  <si>
    <t>Actividades</t>
  </si>
  <si>
    <t xml:space="preserve">Atender Cliente </t>
  </si>
  <si>
    <t>Reparar</t>
  </si>
  <si>
    <t>Prioridad</t>
  </si>
  <si>
    <t>Alta</t>
  </si>
  <si>
    <t>Baja</t>
  </si>
  <si>
    <t>Demora</t>
  </si>
  <si>
    <t>Uniforme</t>
  </si>
  <si>
    <t>a</t>
  </si>
  <si>
    <t>b</t>
  </si>
  <si>
    <t>Valores</t>
  </si>
  <si>
    <t>Exponencial</t>
  </si>
  <si>
    <t>Atender al Cliente</t>
  </si>
  <si>
    <t>Pr</t>
  </si>
  <si>
    <t>Presupuesto Elevado</t>
  </si>
  <si>
    <t>Presupuesto Normal</t>
  </si>
  <si>
    <t>Pr Acumulada</t>
  </si>
  <si>
    <t>iz</t>
  </si>
  <si>
    <t>de</t>
  </si>
  <si>
    <t>Situación</t>
  </si>
  <si>
    <t>Cliente con Presupuesto Elevado</t>
  </si>
  <si>
    <t>A las 18hs se deja se atender clientes y se realizan todas las reparaciones restantes.</t>
  </si>
  <si>
    <t>T = -45 * ln(1-RND)</t>
  </si>
  <si>
    <t>T = 10 + RND*(20-10)</t>
  </si>
  <si>
    <t>T = -90 * ln(1-RND)</t>
  </si>
  <si>
    <t>RND &lt; 0,499</t>
  </si>
  <si>
    <t>Fórmula</t>
  </si>
  <si>
    <t>Hay 2 colas: Recepción y Reparación</t>
  </si>
  <si>
    <t xml:space="preserve">A) </t>
  </si>
  <si>
    <t>Objetos:</t>
  </si>
  <si>
    <t>Cliente</t>
  </si>
  <si>
    <t>Técnico</t>
  </si>
  <si>
    <t>PROTOTIPO DE COLUMNA</t>
  </si>
  <si>
    <t>Evento</t>
  </si>
  <si>
    <t>Hora</t>
  </si>
  <si>
    <t>Próxima Llegada</t>
  </si>
  <si>
    <t>Estado</t>
  </si>
  <si>
    <t>RND Duracion Atencion</t>
  </si>
  <si>
    <t>Duracion Atencion</t>
  </si>
  <si>
    <t>RND Presupuesto</t>
  </si>
  <si>
    <t>Presupuesto</t>
  </si>
  <si>
    <t>Acumuladores</t>
  </si>
  <si>
    <t>Tiempo de Atencion</t>
  </si>
  <si>
    <t>Tiempo de Reparacion</t>
  </si>
  <si>
    <t>Clientes No Atendidos por Cierre</t>
  </si>
  <si>
    <t>RND Llegada</t>
  </si>
  <si>
    <t>RND Duracion Reparacion</t>
  </si>
  <si>
    <t>Randoms</t>
  </si>
  <si>
    <t>Tiempo entre Llegadas</t>
  </si>
  <si>
    <t>Libre</t>
  </si>
  <si>
    <t>Normal</t>
  </si>
  <si>
    <t>SI</t>
  </si>
  <si>
    <t>¿Deja para reparar?</t>
  </si>
  <si>
    <t>RND ¿Deja para reparar?</t>
  </si>
  <si>
    <t>Duracion</t>
  </si>
  <si>
    <t>Próximo Fin de la Atencion</t>
  </si>
  <si>
    <t>Reparando</t>
  </si>
  <si>
    <t>Atendiendo</t>
  </si>
  <si>
    <t>Clientes</t>
  </si>
  <si>
    <t>Temporario</t>
  </si>
  <si>
    <t>Permanente</t>
  </si>
  <si>
    <t>Estados Posibles</t>
  </si>
  <si>
    <t>Libre, Atendiendo, Reparando</t>
  </si>
  <si>
    <t>Equipo a Reparar</t>
  </si>
  <si>
    <t>Colas</t>
  </si>
  <si>
    <t xml:space="preserve"> Reparacion</t>
  </si>
  <si>
    <t xml:space="preserve"> Atencion</t>
  </si>
  <si>
    <t>Llegada_Cliente</t>
  </si>
  <si>
    <t>Eventos</t>
  </si>
  <si>
    <t>Fin_Atención</t>
  </si>
  <si>
    <t>Abre_Tienda</t>
  </si>
  <si>
    <t>Cierra_Tienda</t>
  </si>
  <si>
    <t>Fin_Atencion</t>
  </si>
  <si>
    <t>Fin_Reparación</t>
  </si>
  <si>
    <t>N</t>
  </si>
  <si>
    <t>Equipos a Reparar</t>
  </si>
  <si>
    <t>Tiempo Reparacion</t>
  </si>
  <si>
    <t>Hora Fin Reparacion</t>
  </si>
  <si>
    <t>Hora Dejado en Taller</t>
  </si>
  <si>
    <t>i</t>
  </si>
  <si>
    <t>SA</t>
  </si>
  <si>
    <t>En Espera (EE) , Siendo Atendido (SA)</t>
  </si>
  <si>
    <t>En Espera (EE), En Reparacion (ER), Reparacion Interrumpida (RI)</t>
  </si>
  <si>
    <t>EE</t>
  </si>
  <si>
    <t>No Deja para Reparar</t>
  </si>
  <si>
    <t>Deja para Reparar</t>
  </si>
  <si>
    <t>ER</t>
  </si>
  <si>
    <t>Llegada_Cliente 1</t>
  </si>
  <si>
    <t>Fin_Atencion_CL1</t>
  </si>
  <si>
    <t>Fin_Reparacion_CL1</t>
  </si>
  <si>
    <t>Llegada_Cliente 2</t>
  </si>
  <si>
    <t>Llegada_Cliente 3</t>
  </si>
  <si>
    <t>Fin_Atencion_CL2</t>
  </si>
  <si>
    <t>Llegada_Cliente 4</t>
  </si>
  <si>
    <t>Fin_Atencion_CL3</t>
  </si>
  <si>
    <t>Llegada_Cliente 5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</si>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</sst>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0" xfId="0" applyNumberFormat="1"/>
    <xf numFmtId="0" fontId="0" fillId="11" borderId="1" xfId="0" applyFill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0" fillId="4" borderId="1" xfId="0" applyFill="1" applyBorder="1"/>
    <xf numFmtId="0" fontId="0" fillId="5" borderId="1" xfId="0" applyFill="1" applyBorder="1"/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64" fontId="0" fillId="0" borderId="1" xfId="0" applyNumberFormat="1" applyBorder="1"/>
    <xf numFmtId="164" fontId="2" fillId="0" borderId="1" xfId="0" applyNumberFormat="1" applyFont="1" applyBorder="1"/>
    <xf numFmtId="164" fontId="0" fillId="0" borderId="1" xfId="0" applyNumberFormat="1" applyBorder="1" applyAlignment="1">
      <alignment horizontal="center" vertical="center"/>
    </xf>
    <xf numFmtId="0" fontId="0" fillId="13" borderId="1" xfId="0" applyFill="1" applyBorder="1"/>
    <xf numFmtId="164" fontId="0" fillId="0" borderId="1" xfId="0" applyNumberFormat="1" applyBorder="1" applyAlignment="1">
      <alignment horizontal="center"/>
    </xf>
    <xf numFmtId="0" fontId="0" fillId="14" borderId="1" xfId="0" applyFill="1" applyBorder="1"/>
    <xf numFmtId="164" fontId="2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right"/>
    </xf>
    <xf numFmtId="0" fontId="0" fillId="13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0" borderId="1" xfId="0" applyBorder="1" applyAlignment="1">
      <alignment horizontal="center" wrapText="1"/>
    </xf>
    <xf numFmtId="165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Z27"/>
  <sheetViews>
    <sheetView tabSelected="1" zoomScaleNormal="100" workbookViewId="0">
      <selection activeCell="AG24" sqref="AG24"/>
    </sheetView>
  </sheetViews>
  <sheetFormatPr baseColWidth="10" defaultColWidth="9.140625" defaultRowHeight="15" x14ac:dyDescent="0.25"/>
  <cols>
    <col min="2" max="2" width="17" customWidth="1"/>
    <col min="3" max="3" width="8.5703125" customWidth="1"/>
    <col min="4" max="4" width="13.5703125" customWidth="1"/>
    <col min="7" max="7" width="11" customWidth="1"/>
    <col min="11" max="11" width="18.140625" customWidth="1"/>
    <col min="13" max="13" width="13.85546875" bestFit="1" customWidth="1"/>
    <col min="15" max="15" width="17.5703125" customWidth="1"/>
    <col min="19" max="20" width="12.42578125" customWidth="1"/>
    <col min="21" max="21" width="12.5703125" customWidth="1"/>
    <col min="23" max="23" width="11.28515625" customWidth="1"/>
    <col min="25" max="25" width="9.85546875" customWidth="1"/>
    <col min="26" max="26" width="11.5703125" customWidth="1"/>
    <col min="27" max="27" width="10.140625" customWidth="1"/>
    <col min="28" max="28" width="10.85546875" customWidth="1"/>
    <col min="29" max="29" width="10.28515625" customWidth="1"/>
    <col min="32" max="32" width="15.28515625" customWidth="1"/>
    <col min="33" max="33" width="16.28515625" customWidth="1"/>
    <col min="34" max="34" width="12" customWidth="1"/>
    <col min="36" max="36" width="1.140625" customWidth="1"/>
    <col min="37" max="39" width="15.5703125" customWidth="1"/>
    <col min="40" max="40" width="11.7109375" customWidth="1"/>
    <col min="43" max="43" width="12.42578125" customWidth="1"/>
    <col min="44" max="44" width="12.28515625" customWidth="1"/>
    <col min="47" max="47" width="12.28515625" customWidth="1"/>
    <col min="48" max="48" width="11.42578125" customWidth="1"/>
    <col min="51" max="51" width="11.7109375" customWidth="1"/>
    <col min="52" max="52" width="12" customWidth="1"/>
  </cols>
  <sheetData>
    <row r="2" spans="2:52" ht="15" customHeight="1" x14ac:dyDescent="0.25">
      <c r="B2" s="2" t="s">
        <v>3</v>
      </c>
      <c r="C2" s="2"/>
      <c r="E2" s="40" t="s">
        <v>32</v>
      </c>
      <c r="F2" s="40"/>
      <c r="G2" s="40"/>
      <c r="H2" s="40"/>
      <c r="J2" s="2" t="s">
        <v>33</v>
      </c>
      <c r="K2" s="11" t="s">
        <v>34</v>
      </c>
      <c r="L2" s="11"/>
      <c r="M2" s="11"/>
      <c r="N2" s="11"/>
      <c r="O2" s="11"/>
      <c r="Q2" s="14" t="s">
        <v>73</v>
      </c>
      <c r="R2" s="14"/>
      <c r="S2" s="14"/>
      <c r="T2" s="14"/>
    </row>
    <row r="3" spans="2:52" x14ac:dyDescent="0.25">
      <c r="B3" s="2" t="s">
        <v>4</v>
      </c>
      <c r="C3" s="2">
        <v>45</v>
      </c>
      <c r="J3" s="2"/>
      <c r="K3" s="2"/>
      <c r="L3" s="2"/>
      <c r="M3" s="2"/>
      <c r="N3" s="2"/>
      <c r="O3" s="2"/>
      <c r="Q3" s="9" t="s">
        <v>72</v>
      </c>
      <c r="R3" s="9"/>
      <c r="S3" s="9" t="s">
        <v>75</v>
      </c>
      <c r="T3" s="9"/>
    </row>
    <row r="4" spans="2:52" x14ac:dyDescent="0.25">
      <c r="B4" s="9" t="s">
        <v>27</v>
      </c>
      <c r="C4" s="9"/>
      <c r="E4" s="9" t="s">
        <v>0</v>
      </c>
      <c r="F4" s="9"/>
      <c r="G4" s="2">
        <v>10</v>
      </c>
      <c r="H4" s="2" t="s">
        <v>2</v>
      </c>
      <c r="J4" s="2"/>
      <c r="K4" s="4" t="s">
        <v>35</v>
      </c>
      <c r="L4" s="2"/>
      <c r="M4" s="4" t="s">
        <v>36</v>
      </c>
      <c r="N4" s="2"/>
      <c r="O4" s="4" t="s">
        <v>68</v>
      </c>
      <c r="Q4" s="9" t="s">
        <v>74</v>
      </c>
      <c r="R4" s="9"/>
      <c r="S4" s="9" t="s">
        <v>76</v>
      </c>
      <c r="T4" s="9"/>
    </row>
    <row r="5" spans="2:52" x14ac:dyDescent="0.25">
      <c r="E5" s="9" t="s">
        <v>1</v>
      </c>
      <c r="F5" s="9"/>
      <c r="G5" s="2">
        <v>18</v>
      </c>
      <c r="H5" s="2" t="s">
        <v>2</v>
      </c>
      <c r="J5" s="5" t="s">
        <v>59</v>
      </c>
      <c r="K5" s="2" t="s">
        <v>64</v>
      </c>
      <c r="L5" s="2"/>
      <c r="M5" s="2" t="s">
        <v>65</v>
      </c>
      <c r="N5" s="2"/>
      <c r="O5" s="2" t="s">
        <v>64</v>
      </c>
      <c r="Q5" s="9" t="s">
        <v>78</v>
      </c>
      <c r="R5" s="9"/>
    </row>
    <row r="6" spans="2:52" ht="60" x14ac:dyDescent="0.25">
      <c r="J6" s="6" t="s">
        <v>66</v>
      </c>
      <c r="K6" s="6" t="s">
        <v>86</v>
      </c>
      <c r="L6" s="2"/>
      <c r="M6" s="6" t="s">
        <v>67</v>
      </c>
      <c r="N6" s="2"/>
      <c r="O6" s="6" t="s">
        <v>87</v>
      </c>
    </row>
    <row r="7" spans="2:52" x14ac:dyDescent="0.25">
      <c r="B7" s="1" t="s">
        <v>5</v>
      </c>
      <c r="C7" s="1" t="s">
        <v>8</v>
      </c>
      <c r="D7" s="1" t="s">
        <v>11</v>
      </c>
      <c r="E7" s="9" t="s">
        <v>15</v>
      </c>
      <c r="F7" s="9"/>
      <c r="G7" s="9" t="s">
        <v>31</v>
      </c>
      <c r="H7" s="9"/>
      <c r="S7" s="30" t="s">
        <v>52</v>
      </c>
      <c r="T7" s="41">
        <f ca="1">RAND()</f>
        <v>0.95478665230448911</v>
      </c>
    </row>
    <row r="8" spans="2:52" x14ac:dyDescent="0.25">
      <c r="B8" s="9" t="s">
        <v>6</v>
      </c>
      <c r="C8" s="9" t="s">
        <v>9</v>
      </c>
      <c r="D8" s="9" t="s">
        <v>12</v>
      </c>
      <c r="E8" s="2" t="s">
        <v>13</v>
      </c>
      <c r="F8" s="2">
        <v>10</v>
      </c>
      <c r="G8" s="13" t="s">
        <v>28</v>
      </c>
      <c r="H8" s="13"/>
    </row>
    <row r="9" spans="2:52" x14ac:dyDescent="0.25">
      <c r="B9" s="9"/>
      <c r="C9" s="9"/>
      <c r="D9" s="9"/>
      <c r="E9" s="2" t="s">
        <v>14</v>
      </c>
      <c r="F9" s="2">
        <v>20</v>
      </c>
      <c r="G9" s="13"/>
      <c r="H9" s="13"/>
      <c r="J9" s="10" t="s">
        <v>37</v>
      </c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</row>
    <row r="10" spans="2:52" x14ac:dyDescent="0.25">
      <c r="B10" s="1" t="s">
        <v>7</v>
      </c>
      <c r="C10" s="1" t="s">
        <v>10</v>
      </c>
      <c r="D10" s="1" t="s">
        <v>16</v>
      </c>
      <c r="E10" s="2" t="s">
        <v>4</v>
      </c>
      <c r="F10" s="2">
        <v>90</v>
      </c>
      <c r="G10" s="9" t="s">
        <v>29</v>
      </c>
      <c r="H10" s="9"/>
      <c r="AD10" s="38" t="s">
        <v>63</v>
      </c>
      <c r="AE10" s="38"/>
      <c r="AF10" s="38"/>
      <c r="AG10" s="38"/>
      <c r="AH10" s="38"/>
      <c r="AI10" s="38"/>
      <c r="AJ10" s="2"/>
      <c r="AK10" s="39" t="s">
        <v>80</v>
      </c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</row>
    <row r="11" spans="2:52" x14ac:dyDescent="0.25">
      <c r="I11" s="13" t="s">
        <v>84</v>
      </c>
      <c r="J11" s="15"/>
      <c r="K11" s="16"/>
      <c r="L11" s="17" t="s">
        <v>72</v>
      </c>
      <c r="M11" s="17"/>
      <c r="N11" s="17"/>
      <c r="O11" s="18" t="s">
        <v>77</v>
      </c>
      <c r="P11" s="18"/>
      <c r="Q11" s="18"/>
      <c r="R11" s="18"/>
      <c r="S11" s="18"/>
      <c r="T11" s="18"/>
      <c r="U11" s="18"/>
      <c r="V11" s="18"/>
      <c r="W11" s="19" t="s">
        <v>78</v>
      </c>
      <c r="X11" s="19"/>
      <c r="Y11" s="20" t="s">
        <v>69</v>
      </c>
      <c r="Z11" s="20"/>
      <c r="AA11" s="21" t="s">
        <v>46</v>
      </c>
      <c r="AB11" s="21"/>
      <c r="AC11" s="21"/>
      <c r="AD11" s="2">
        <v>1</v>
      </c>
      <c r="AE11" s="2">
        <v>2</v>
      </c>
      <c r="AF11" s="1">
        <v>3</v>
      </c>
      <c r="AG11" s="1">
        <v>4</v>
      </c>
      <c r="AH11" s="1">
        <v>5</v>
      </c>
      <c r="AI11" s="1" t="s">
        <v>79</v>
      </c>
      <c r="AJ11" s="2"/>
      <c r="AK11" s="9">
        <v>1</v>
      </c>
      <c r="AL11" s="9"/>
      <c r="AM11" s="9"/>
      <c r="AN11" s="9"/>
      <c r="AO11" s="9">
        <v>2</v>
      </c>
      <c r="AP11" s="9"/>
      <c r="AQ11" s="9"/>
      <c r="AR11" s="9"/>
      <c r="AS11" s="9">
        <v>3</v>
      </c>
      <c r="AT11" s="9"/>
      <c r="AU11" s="9"/>
      <c r="AV11" s="9"/>
      <c r="AW11" s="9" t="s">
        <v>79</v>
      </c>
      <c r="AX11" s="9"/>
      <c r="AY11" s="9"/>
      <c r="AZ11" s="9"/>
    </row>
    <row r="12" spans="2:52" ht="60" x14ac:dyDescent="0.25">
      <c r="I12" s="13"/>
      <c r="J12" s="22" t="s">
        <v>39</v>
      </c>
      <c r="K12" s="23" t="s">
        <v>38</v>
      </c>
      <c r="L12" s="24" t="s">
        <v>50</v>
      </c>
      <c r="M12" s="24" t="s">
        <v>53</v>
      </c>
      <c r="N12" s="25" t="s">
        <v>40</v>
      </c>
      <c r="O12" s="26" t="s">
        <v>41</v>
      </c>
      <c r="P12" s="26" t="s">
        <v>42</v>
      </c>
      <c r="Q12" s="26" t="s">
        <v>43</v>
      </c>
      <c r="R12" s="25" t="s">
        <v>60</v>
      </c>
      <c r="S12" s="26" t="s">
        <v>44</v>
      </c>
      <c r="T12" s="26" t="s">
        <v>45</v>
      </c>
      <c r="U12" s="26" t="s">
        <v>58</v>
      </c>
      <c r="V12" s="26" t="s">
        <v>57</v>
      </c>
      <c r="W12" s="27" t="s">
        <v>51</v>
      </c>
      <c r="X12" s="27" t="s">
        <v>59</v>
      </c>
      <c r="Y12" s="28" t="s">
        <v>71</v>
      </c>
      <c r="Z12" s="28" t="s">
        <v>70</v>
      </c>
      <c r="AA12" s="29" t="s">
        <v>47</v>
      </c>
      <c r="AB12" s="29" t="s">
        <v>48</v>
      </c>
      <c r="AC12" s="29" t="s">
        <v>49</v>
      </c>
      <c r="AD12" s="8" t="s">
        <v>41</v>
      </c>
      <c r="AE12" s="8" t="s">
        <v>41</v>
      </c>
      <c r="AF12" s="8" t="s">
        <v>41</v>
      </c>
      <c r="AG12" s="8" t="s">
        <v>41</v>
      </c>
      <c r="AH12" s="8" t="s">
        <v>41</v>
      </c>
      <c r="AI12" s="8" t="s">
        <v>41</v>
      </c>
      <c r="AJ12" s="1"/>
      <c r="AK12" s="8" t="s">
        <v>41</v>
      </c>
      <c r="AL12" s="7" t="s">
        <v>83</v>
      </c>
      <c r="AM12" s="7" t="s">
        <v>82</v>
      </c>
      <c r="AN12" s="7" t="s">
        <v>81</v>
      </c>
      <c r="AO12" s="8" t="s">
        <v>41</v>
      </c>
      <c r="AP12" s="7" t="s">
        <v>83</v>
      </c>
      <c r="AQ12" s="7" t="s">
        <v>82</v>
      </c>
      <c r="AR12" s="7" t="s">
        <v>81</v>
      </c>
      <c r="AS12" s="8" t="s">
        <v>41</v>
      </c>
      <c r="AT12" s="7" t="s">
        <v>83</v>
      </c>
      <c r="AU12" s="7" t="s">
        <v>82</v>
      </c>
      <c r="AV12" s="7" t="s">
        <v>81</v>
      </c>
      <c r="AW12" s="8" t="s">
        <v>41</v>
      </c>
      <c r="AX12" s="7" t="s">
        <v>83</v>
      </c>
      <c r="AY12" s="7" t="s">
        <v>82</v>
      </c>
      <c r="AZ12" s="7" t="s">
        <v>81</v>
      </c>
    </row>
    <row r="13" spans="2:52" x14ac:dyDescent="0.25">
      <c r="I13" s="2">
        <v>1</v>
      </c>
      <c r="J13" s="30">
        <v>0.41666666666666669</v>
      </c>
      <c r="K13" s="2" t="s">
        <v>75</v>
      </c>
      <c r="L13" s="2">
        <v>0.33300000000000002</v>
      </c>
      <c r="M13" s="30">
        <f>-$C$3*(LN(1-L13)) / 1440</f>
        <v>1.265516353332854E-2</v>
      </c>
      <c r="N13" s="31">
        <f>J13+M13</f>
        <v>0.4293218301999952</v>
      </c>
      <c r="O13" s="2" t="s">
        <v>54</v>
      </c>
      <c r="P13" s="2"/>
      <c r="Q13" s="30"/>
      <c r="R13" s="2"/>
      <c r="S13" s="2"/>
      <c r="T13" s="2"/>
      <c r="U13" s="2"/>
      <c r="V13" s="2"/>
      <c r="W13" s="2"/>
      <c r="X13" s="30"/>
      <c r="Y13" s="2">
        <v>0</v>
      </c>
      <c r="Z13" s="2">
        <v>0</v>
      </c>
      <c r="AA13" s="30">
        <v>0</v>
      </c>
      <c r="AB13" s="30">
        <v>0</v>
      </c>
      <c r="AC13" s="2">
        <v>0</v>
      </c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2:52" x14ac:dyDescent="0.25">
      <c r="B14" s="9" t="s">
        <v>17</v>
      </c>
      <c r="C14" s="9"/>
      <c r="D14" s="9"/>
      <c r="E14" s="9"/>
      <c r="F14" s="9"/>
      <c r="I14" s="2">
        <f>I13+1</f>
        <v>2</v>
      </c>
      <c r="J14" s="30">
        <v>0.42931712962962965</v>
      </c>
      <c r="K14" s="2" t="s">
        <v>92</v>
      </c>
      <c r="L14" s="2">
        <v>0.55800000000000005</v>
      </c>
      <c r="M14" s="30">
        <f>-$C$3*(LN(1-L14)) / 1440</f>
        <v>2.5513918653263721E-2</v>
      </c>
      <c r="N14" s="30">
        <f>J14+M14</f>
        <v>0.45483104828289339</v>
      </c>
      <c r="O14" s="2" t="s">
        <v>62</v>
      </c>
      <c r="P14" s="2">
        <v>5.5E-2</v>
      </c>
      <c r="Q14" s="30">
        <f>($F$8+P14*($F$9-$F$8)) / 1440</f>
        <v>7.3263888888888892E-3</v>
      </c>
      <c r="R14" s="31">
        <f>J14+Q14</f>
        <v>0.43664351851851851</v>
      </c>
      <c r="S14" s="2"/>
      <c r="T14" s="2"/>
      <c r="U14" s="2"/>
      <c r="V14" s="2"/>
      <c r="W14" s="2"/>
      <c r="X14" s="2"/>
      <c r="Y14" s="2">
        <v>0</v>
      </c>
      <c r="Z14" s="2">
        <v>0</v>
      </c>
      <c r="AA14" s="30">
        <v>0</v>
      </c>
      <c r="AB14" s="30">
        <v>0</v>
      </c>
      <c r="AC14" s="2">
        <v>0</v>
      </c>
      <c r="AD14" s="2" t="s">
        <v>85</v>
      </c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2:52" x14ac:dyDescent="0.25">
      <c r="B15" s="2" t="s">
        <v>24</v>
      </c>
      <c r="C15" s="1" t="s">
        <v>18</v>
      </c>
      <c r="D15" s="1" t="s">
        <v>21</v>
      </c>
      <c r="E15" s="1" t="s">
        <v>22</v>
      </c>
      <c r="F15" s="1" t="s">
        <v>23</v>
      </c>
      <c r="I15" s="2">
        <f t="shared" ref="I15:I22" si="0">I14+1</f>
        <v>3</v>
      </c>
      <c r="J15" s="30">
        <f>R14</f>
        <v>0.43664351851851851</v>
      </c>
      <c r="K15" s="2" t="s">
        <v>93</v>
      </c>
      <c r="L15" s="8"/>
      <c r="M15" s="32"/>
      <c r="N15" s="30">
        <f>N14</f>
        <v>0.45483104828289339</v>
      </c>
      <c r="O15" s="30" t="s">
        <v>61</v>
      </c>
      <c r="P15" s="32"/>
      <c r="Q15" s="32"/>
      <c r="R15" s="32"/>
      <c r="S15" s="2">
        <v>0.35499999999999998</v>
      </c>
      <c r="T15" s="2" t="s">
        <v>55</v>
      </c>
      <c r="U15" s="1"/>
      <c r="V15" s="2" t="s">
        <v>56</v>
      </c>
      <c r="W15" s="2">
        <v>0.187</v>
      </c>
      <c r="X15" s="31">
        <f>-90*LN(1-W15) / 1440</f>
        <v>1.2939010589645406E-2</v>
      </c>
      <c r="Y15" s="2">
        <v>0</v>
      </c>
      <c r="Z15" s="2">
        <v>0</v>
      </c>
      <c r="AA15" s="30">
        <f>Q14</f>
        <v>7.3263888888888892E-3</v>
      </c>
      <c r="AB15" s="30">
        <v>0</v>
      </c>
      <c r="AC15" s="2">
        <v>0</v>
      </c>
      <c r="AD15" s="33"/>
      <c r="AE15" s="2"/>
      <c r="AF15" s="2"/>
      <c r="AG15" s="2"/>
      <c r="AH15" s="2"/>
      <c r="AI15" s="2"/>
      <c r="AJ15" s="2"/>
      <c r="AK15" s="2" t="s">
        <v>91</v>
      </c>
      <c r="AL15" s="30">
        <f>J15</f>
        <v>0.43664351851851851</v>
      </c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2:52" x14ac:dyDescent="0.25">
      <c r="B16" s="2" t="s">
        <v>19</v>
      </c>
      <c r="C16" s="2">
        <v>0.3</v>
      </c>
      <c r="D16" s="2">
        <v>0.3</v>
      </c>
      <c r="E16" s="2">
        <v>0</v>
      </c>
      <c r="F16" s="2">
        <v>0.29899999999999999</v>
      </c>
      <c r="I16" s="2">
        <f t="shared" si="0"/>
        <v>4</v>
      </c>
      <c r="J16" s="30">
        <f>J15+X15</f>
        <v>0.44958252910816393</v>
      </c>
      <c r="K16" s="2" t="s">
        <v>94</v>
      </c>
      <c r="L16" s="1"/>
      <c r="M16" s="34"/>
      <c r="N16" s="31">
        <f>N15</f>
        <v>0.45483104828289339</v>
      </c>
      <c r="O16" s="30" t="s">
        <v>54</v>
      </c>
      <c r="P16" s="34"/>
      <c r="Q16" s="34"/>
      <c r="R16" s="34"/>
      <c r="S16" s="34"/>
      <c r="T16" s="34"/>
      <c r="U16" s="34"/>
      <c r="V16" s="34"/>
      <c r="W16" s="34"/>
      <c r="X16" s="30"/>
      <c r="Y16" s="2">
        <v>0</v>
      </c>
      <c r="Z16" s="2">
        <v>0</v>
      </c>
      <c r="AA16" s="30">
        <f>AA15</f>
        <v>7.3263888888888892E-3</v>
      </c>
      <c r="AB16" s="30">
        <f>AB15+X15</f>
        <v>1.2939010589645406E-2</v>
      </c>
      <c r="AC16" s="2">
        <v>0</v>
      </c>
      <c r="AD16" s="2"/>
      <c r="AE16" s="2"/>
      <c r="AF16" s="2"/>
      <c r="AG16" s="2"/>
      <c r="AH16" s="2"/>
      <c r="AI16" s="2"/>
      <c r="AJ16" s="2"/>
      <c r="AK16" s="35"/>
      <c r="AL16" s="30">
        <f>AL15</f>
        <v>0.43664351851851851</v>
      </c>
      <c r="AM16" s="30">
        <f>J16</f>
        <v>0.44958252910816393</v>
      </c>
      <c r="AN16" s="30">
        <f>AM16-AL16</f>
        <v>1.2939010589645417E-2</v>
      </c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2:52" x14ac:dyDescent="0.25">
      <c r="B17" s="2" t="s">
        <v>20</v>
      </c>
      <c r="C17" s="2">
        <v>0.7</v>
      </c>
      <c r="D17" s="2">
        <v>1</v>
      </c>
      <c r="E17" s="2">
        <v>0.3</v>
      </c>
      <c r="F17" s="2">
        <v>0.999</v>
      </c>
      <c r="I17" s="2">
        <f t="shared" si="0"/>
        <v>5</v>
      </c>
      <c r="J17" s="30">
        <f>N15</f>
        <v>0.45483104828289339</v>
      </c>
      <c r="K17" s="2" t="s">
        <v>95</v>
      </c>
      <c r="L17" s="2">
        <v>3.0000000000000001E-3</v>
      </c>
      <c r="M17" s="30">
        <f>-$C$3*LN(1-L17) / 1440</f>
        <v>9.3890906884335122E-5</v>
      </c>
      <c r="N17" s="31">
        <f>J17+M17</f>
        <v>0.45492493918977772</v>
      </c>
      <c r="O17" s="2" t="s">
        <v>62</v>
      </c>
      <c r="P17" s="2">
        <v>0.35799999999999998</v>
      </c>
      <c r="Q17" s="30">
        <f>($F$8+P17*($F$9-$F$8)) / 1440</f>
        <v>9.4305555555555549E-3</v>
      </c>
      <c r="R17" s="30">
        <f>J17+Q17</f>
        <v>0.46426160383844894</v>
      </c>
      <c r="S17" s="2"/>
      <c r="T17" s="2"/>
      <c r="U17" s="2"/>
      <c r="V17" s="2"/>
      <c r="W17" s="2"/>
      <c r="X17" s="2"/>
      <c r="Y17" s="2">
        <v>0</v>
      </c>
      <c r="Z17" s="2">
        <v>0</v>
      </c>
      <c r="AA17" s="30">
        <f>AA16+Q18</f>
        <v>1.6756944444444442E-2</v>
      </c>
      <c r="AB17" s="30">
        <f>AB16</f>
        <v>1.2939010589645406E-2</v>
      </c>
      <c r="AC17" s="2">
        <v>0</v>
      </c>
      <c r="AD17" s="2"/>
      <c r="AE17" s="2" t="s">
        <v>85</v>
      </c>
      <c r="AF17" s="2"/>
      <c r="AG17" s="2"/>
      <c r="AH17" s="2"/>
      <c r="AI17" s="2"/>
      <c r="AJ17" s="2"/>
      <c r="AK17" s="2"/>
      <c r="AL17" s="35"/>
      <c r="AM17" s="35"/>
      <c r="AN17" s="35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2:52" x14ac:dyDescent="0.25">
      <c r="I18" s="2">
        <f t="shared" si="0"/>
        <v>6</v>
      </c>
      <c r="J18" s="30">
        <f>N17</f>
        <v>0.45492493918977772</v>
      </c>
      <c r="K18" s="2" t="s">
        <v>96</v>
      </c>
      <c r="L18" s="2">
        <v>0.44</v>
      </c>
      <c r="M18" s="30">
        <f>-$C$3*LN(1-L18) / 1440</f>
        <v>1.8119327976654439E-2</v>
      </c>
      <c r="N18" s="30">
        <f>J18+M18</f>
        <v>0.47304426716643216</v>
      </c>
      <c r="O18" s="2" t="s">
        <v>62</v>
      </c>
      <c r="P18" s="1"/>
      <c r="Q18" s="30">
        <f>Q17</f>
        <v>9.4305555555555549E-3</v>
      </c>
      <c r="R18" s="31">
        <f>R17</f>
        <v>0.46426160383844894</v>
      </c>
      <c r="S18" s="1"/>
      <c r="T18" s="1"/>
      <c r="U18" s="1"/>
      <c r="V18" s="1"/>
      <c r="W18" s="2"/>
      <c r="X18" s="2"/>
      <c r="Y18" s="2">
        <v>1</v>
      </c>
      <c r="Z18" s="2">
        <v>0</v>
      </c>
      <c r="AA18" s="30">
        <f>AA17+(J18-J17)</f>
        <v>1.6850835351328773E-2</v>
      </c>
      <c r="AB18" s="30">
        <f>AB17</f>
        <v>1.2939010589645406E-2</v>
      </c>
      <c r="AC18" s="2">
        <v>0</v>
      </c>
      <c r="AD18" s="2"/>
      <c r="AE18" s="2" t="s">
        <v>85</v>
      </c>
      <c r="AF18" s="2" t="s">
        <v>88</v>
      </c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2:52" x14ac:dyDescent="0.25">
      <c r="B19" s="9" t="s">
        <v>25</v>
      </c>
      <c r="C19" s="9"/>
      <c r="D19" s="9"/>
      <c r="E19" s="9"/>
      <c r="F19" s="9"/>
      <c r="I19" s="2">
        <f t="shared" si="0"/>
        <v>7</v>
      </c>
      <c r="J19" s="30">
        <f>R17</f>
        <v>0.46426160383844894</v>
      </c>
      <c r="K19" s="2" t="s">
        <v>97</v>
      </c>
      <c r="L19" s="1"/>
      <c r="M19" s="34"/>
      <c r="N19" s="36">
        <f>N18</f>
        <v>0.47304426716643216</v>
      </c>
      <c r="O19" s="30" t="s">
        <v>62</v>
      </c>
      <c r="P19" s="2">
        <v>0.61399999999999999</v>
      </c>
      <c r="Q19" s="30">
        <f>($F$8+P19*($F$9-$F$8)) / 1440</f>
        <v>1.1208333333333334E-2</v>
      </c>
      <c r="R19" s="30">
        <f>J19+Q19</f>
        <v>0.47546993717178226</v>
      </c>
      <c r="S19" s="2">
        <v>0.34499999999999997</v>
      </c>
      <c r="T19" s="2" t="s">
        <v>55</v>
      </c>
      <c r="U19" s="1"/>
      <c r="V19" s="2" t="s">
        <v>56</v>
      </c>
      <c r="W19" s="2">
        <v>0.49399999999999999</v>
      </c>
      <c r="X19" s="30">
        <f>-90*LN(1-W19) / 1440</f>
        <v>4.257616310591697E-2</v>
      </c>
      <c r="Y19" s="2">
        <v>0</v>
      </c>
      <c r="Z19" s="2">
        <v>1</v>
      </c>
      <c r="AA19" s="30">
        <f>AA18+Q17</f>
        <v>2.6281390906884326E-2</v>
      </c>
      <c r="AB19" s="30">
        <f>AB18</f>
        <v>1.2939010589645406E-2</v>
      </c>
      <c r="AC19" s="2">
        <v>0</v>
      </c>
      <c r="AD19" s="2"/>
      <c r="AE19" s="33"/>
      <c r="AF19" s="2" t="s">
        <v>85</v>
      </c>
      <c r="AG19" s="2"/>
      <c r="AH19" s="2"/>
      <c r="AI19" s="2"/>
      <c r="AJ19" s="2"/>
      <c r="AK19" s="2"/>
      <c r="AL19" s="2"/>
      <c r="AM19" s="2"/>
      <c r="AN19" s="2"/>
      <c r="AO19" s="2" t="s">
        <v>88</v>
      </c>
      <c r="AP19" s="30">
        <f>J19</f>
        <v>0.46426160383844894</v>
      </c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2:52" x14ac:dyDescent="0.25">
      <c r="B20" s="2" t="s">
        <v>24</v>
      </c>
      <c r="C20" s="1" t="s">
        <v>18</v>
      </c>
      <c r="D20" s="1" t="s">
        <v>21</v>
      </c>
      <c r="E20" s="1" t="s">
        <v>22</v>
      </c>
      <c r="F20" s="1" t="s">
        <v>23</v>
      </c>
      <c r="I20" s="2">
        <f t="shared" si="0"/>
        <v>8</v>
      </c>
      <c r="J20" s="30">
        <f>N19</f>
        <v>0.47304426716643216</v>
      </c>
      <c r="K20" s="2" t="s">
        <v>98</v>
      </c>
      <c r="L20" s="2">
        <v>0.22500000000000001</v>
      </c>
      <c r="M20" s="30">
        <f>-$C$3*LN(1-L20) / 1440</f>
        <v>7.9653828008996886E-3</v>
      </c>
      <c r="N20" s="30">
        <f>J20+M20</f>
        <v>0.48100964996733186</v>
      </c>
      <c r="O20" s="30" t="s">
        <v>62</v>
      </c>
      <c r="P20" s="2"/>
      <c r="Q20" s="30">
        <f>Q19</f>
        <v>1.1208333333333334E-2</v>
      </c>
      <c r="R20" s="31">
        <f>R19</f>
        <v>0.47546993717178226</v>
      </c>
      <c r="S20" s="2"/>
      <c r="T20" s="2"/>
      <c r="U20" s="2"/>
      <c r="V20" s="2"/>
      <c r="W20" s="1"/>
      <c r="X20" s="37">
        <f>X19</f>
        <v>4.257616310591697E-2</v>
      </c>
      <c r="Y20" s="2">
        <v>1</v>
      </c>
      <c r="Z20" s="2">
        <v>1</v>
      </c>
      <c r="AA20" s="30">
        <f>AA19+Q18</f>
        <v>3.5711946462439879E-2</v>
      </c>
      <c r="AB20" s="30">
        <f>AB19</f>
        <v>1.2939010589645406E-2</v>
      </c>
      <c r="AC20" s="2">
        <v>0</v>
      </c>
      <c r="AD20" s="2"/>
      <c r="AE20" s="2"/>
      <c r="AF20" s="2" t="s">
        <v>85</v>
      </c>
      <c r="AG20" s="2" t="s">
        <v>88</v>
      </c>
      <c r="AH20" s="2"/>
      <c r="AI20" s="2"/>
      <c r="AJ20" s="2"/>
      <c r="AK20" s="2"/>
      <c r="AL20" s="2"/>
      <c r="AM20" s="2"/>
      <c r="AN20" s="2"/>
      <c r="AO20" s="2" t="s">
        <v>88</v>
      </c>
      <c r="AP20" s="30">
        <f>AP19</f>
        <v>0.46426160383844894</v>
      </c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2:52" x14ac:dyDescent="0.25">
      <c r="B21" s="2" t="s">
        <v>89</v>
      </c>
      <c r="C21" s="2">
        <v>0.5</v>
      </c>
      <c r="D21" s="2">
        <v>0.5</v>
      </c>
      <c r="E21" s="2">
        <v>0</v>
      </c>
      <c r="F21" s="2">
        <v>0.499</v>
      </c>
      <c r="G21" s="2" t="s">
        <v>30</v>
      </c>
      <c r="I21" s="2">
        <f t="shared" si="0"/>
        <v>9</v>
      </c>
      <c r="J21" s="30">
        <f>R20</f>
        <v>0.47546993717178226</v>
      </c>
      <c r="K21" s="2" t="s">
        <v>99</v>
      </c>
      <c r="L21" s="2"/>
      <c r="M21" s="30"/>
      <c r="N21" s="31">
        <f>N20</f>
        <v>0.48100964996733186</v>
      </c>
      <c r="O21" s="30" t="s">
        <v>62</v>
      </c>
      <c r="P21" s="2">
        <v>0.26900000000000002</v>
      </c>
      <c r="Q21" s="30">
        <f>($F$8+P21*($F$9-$F$8)) / 1440</f>
        <v>8.8125000000000009E-3</v>
      </c>
      <c r="R21" s="30">
        <f>Q21+J21</f>
        <v>0.48428243717178227</v>
      </c>
      <c r="S21" s="2">
        <v>0.35299999999999998</v>
      </c>
      <c r="T21" s="2" t="s">
        <v>55</v>
      </c>
      <c r="U21" s="2"/>
      <c r="V21" s="2" t="s">
        <v>56</v>
      </c>
      <c r="W21" s="2"/>
      <c r="X21" s="30">
        <f>X20</f>
        <v>4.257616310591697E-2</v>
      </c>
      <c r="Y21" s="2">
        <v>0</v>
      </c>
      <c r="Z21" s="2">
        <v>2</v>
      </c>
      <c r="AA21" s="30">
        <f>AA20+(J21-J20)</f>
        <v>3.813761646778998E-2</v>
      </c>
      <c r="AB21" s="30">
        <f>AB20</f>
        <v>1.2939010589645406E-2</v>
      </c>
      <c r="AC21" s="2">
        <v>0</v>
      </c>
      <c r="AD21" s="2"/>
      <c r="AE21" s="2"/>
      <c r="AF21" s="33"/>
      <c r="AG21" s="2" t="s">
        <v>88</v>
      </c>
      <c r="AH21" s="2"/>
      <c r="AI21" s="2"/>
      <c r="AJ21" s="2"/>
      <c r="AK21" s="2"/>
      <c r="AL21" s="2"/>
      <c r="AM21" s="2"/>
      <c r="AN21" s="2"/>
      <c r="AO21" s="2" t="s">
        <v>88</v>
      </c>
      <c r="AP21" s="30">
        <f t="shared" ref="AP21:AP22" si="1">AP20</f>
        <v>0.46426160383844894</v>
      </c>
      <c r="AQ21" s="2"/>
      <c r="AR21" s="2"/>
      <c r="AS21" s="2" t="s">
        <v>88</v>
      </c>
      <c r="AT21" s="30">
        <f>J21</f>
        <v>0.47546993717178226</v>
      </c>
      <c r="AU21" s="2"/>
      <c r="AV21" s="2"/>
      <c r="AW21" s="2"/>
      <c r="AX21" s="2"/>
      <c r="AY21" s="2"/>
      <c r="AZ21" s="2"/>
    </row>
    <row r="22" spans="2:52" x14ac:dyDescent="0.25">
      <c r="B22" s="2" t="s">
        <v>90</v>
      </c>
      <c r="C22" s="2">
        <v>0.5</v>
      </c>
      <c r="D22" s="2">
        <v>1</v>
      </c>
      <c r="E22" s="2">
        <v>0.5</v>
      </c>
      <c r="F22" s="2">
        <v>0.999</v>
      </c>
      <c r="I22" s="2">
        <f t="shared" si="0"/>
        <v>10</v>
      </c>
      <c r="J22" s="30">
        <f>N21</f>
        <v>0.48100964996733186</v>
      </c>
      <c r="K22" s="2" t="s">
        <v>100</v>
      </c>
      <c r="L22" s="2">
        <v>0.57099999999999995</v>
      </c>
      <c r="M22" s="30">
        <f>-$C$3*LN(1-L22) / 1440</f>
        <v>2.6446823751691249E-2</v>
      </c>
      <c r="N22" s="30">
        <f>J22+M22</f>
        <v>0.50745647371902314</v>
      </c>
      <c r="O22" s="30" t="s">
        <v>62</v>
      </c>
      <c r="P22" s="2"/>
      <c r="Q22" s="30">
        <f>Q21</f>
        <v>8.8125000000000009E-3</v>
      </c>
      <c r="R22" s="30">
        <f>R21</f>
        <v>0.48428243717178227</v>
      </c>
      <c r="S22" s="2"/>
      <c r="T22" s="2"/>
      <c r="U22" s="2"/>
      <c r="V22" s="2"/>
      <c r="W22" s="2"/>
      <c r="X22" s="30">
        <f>X21</f>
        <v>4.257616310591697E-2</v>
      </c>
      <c r="Y22" s="2">
        <v>1</v>
      </c>
      <c r="Z22" s="2">
        <v>2</v>
      </c>
      <c r="AA22" s="30">
        <f>AA21++J22-J21</f>
        <v>4.3677329263339615E-2</v>
      </c>
      <c r="AB22" s="30">
        <f>AB21</f>
        <v>1.2939010589645406E-2</v>
      </c>
      <c r="AC22" s="2">
        <v>0</v>
      </c>
      <c r="AD22" s="2"/>
      <c r="AE22" s="2"/>
      <c r="AF22" s="2"/>
      <c r="AG22" s="2" t="s">
        <v>88</v>
      </c>
      <c r="AH22" s="2" t="s">
        <v>88</v>
      </c>
      <c r="AI22" s="2"/>
      <c r="AJ22" s="2"/>
      <c r="AK22" s="2"/>
      <c r="AL22" s="2"/>
      <c r="AM22" s="2"/>
      <c r="AN22" s="2"/>
      <c r="AO22" s="2" t="s">
        <v>88</v>
      </c>
      <c r="AP22" s="30">
        <f t="shared" si="1"/>
        <v>0.46426160383844894</v>
      </c>
      <c r="AQ22" s="2"/>
      <c r="AR22" s="2"/>
      <c r="AS22" s="2" t="s">
        <v>88</v>
      </c>
      <c r="AT22" s="30">
        <f>AT21</f>
        <v>0.47546993717178226</v>
      </c>
      <c r="AU22" s="2"/>
      <c r="AV22" s="2"/>
      <c r="AW22" s="2"/>
      <c r="AX22" s="2"/>
      <c r="AY22" s="2"/>
      <c r="AZ22" s="2"/>
    </row>
    <row r="23" spans="2:52" x14ac:dyDescent="0.25">
      <c r="J23" s="3"/>
      <c r="M23" s="3"/>
      <c r="N23" s="3"/>
      <c r="AA23" t="s">
        <v>101</v>
      </c>
    </row>
    <row r="24" spans="2:52" ht="15" customHeight="1" x14ac:dyDescent="0.25">
      <c r="B24" s="12" t="s">
        <v>26</v>
      </c>
      <c r="C24" s="12"/>
      <c r="D24" s="12"/>
      <c r="E24" s="12"/>
      <c r="F24" s="12"/>
      <c r="J24" s="3"/>
    </row>
    <row r="25" spans="2:52" x14ac:dyDescent="0.25">
      <c r="B25" s="12"/>
      <c r="C25" s="12"/>
      <c r="D25" s="12"/>
      <c r="E25" s="12"/>
      <c r="F25" s="12"/>
      <c r="J25" s="3"/>
    </row>
    <row r="26" spans="2:52" x14ac:dyDescent="0.25">
      <c r="J26" s="3"/>
    </row>
    <row r="27" spans="2:52" x14ac:dyDescent="0.25">
      <c r="J27" s="3"/>
    </row>
  </sheetData>
  <mergeCells count="34">
    <mergeCell ref="AO11:AR11"/>
    <mergeCell ref="I11:I12"/>
    <mergeCell ref="AD10:AI10"/>
    <mergeCell ref="O11:V11"/>
    <mergeCell ref="AA11:AC11"/>
    <mergeCell ref="Y11:Z11"/>
    <mergeCell ref="AK11:AN11"/>
    <mergeCell ref="B24:F25"/>
    <mergeCell ref="G8:H9"/>
    <mergeCell ref="B4:C4"/>
    <mergeCell ref="G10:H10"/>
    <mergeCell ref="G7:H7"/>
    <mergeCell ref="D8:D9"/>
    <mergeCell ref="C8:C9"/>
    <mergeCell ref="B8:B9"/>
    <mergeCell ref="E7:F7"/>
    <mergeCell ref="B14:F14"/>
    <mergeCell ref="B19:F19"/>
    <mergeCell ref="E2:H2"/>
    <mergeCell ref="E4:F4"/>
    <mergeCell ref="E5:F5"/>
    <mergeCell ref="AS11:AV11"/>
    <mergeCell ref="AW11:AZ11"/>
    <mergeCell ref="AK10:AZ10"/>
    <mergeCell ref="J9:AZ9"/>
    <mergeCell ref="K2:O2"/>
    <mergeCell ref="L11:N11"/>
    <mergeCell ref="W11:X11"/>
    <mergeCell ref="Q3:R3"/>
    <mergeCell ref="Q4:R4"/>
    <mergeCell ref="S4:T4"/>
    <mergeCell ref="S3:T3"/>
    <mergeCell ref="Q2:T2"/>
    <mergeCell ref="Q5:R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Nazareno Derico</dc:creator>
  <cp:lastModifiedBy>Nazareno Derico</cp:lastModifiedBy>
  <dcterms:created xsi:type="dcterms:W3CDTF">2015-06-05T18:17:20Z</dcterms:created>
  <dcterms:modified xsi:type="dcterms:W3CDTF">2026-05-14T08:00:31Z</dcterms:modified>
</cp:coreProperties>
</file>